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4e87ae09cf5f9f/Desktop/Karmix/"/>
    </mc:Choice>
  </mc:AlternateContent>
  <xr:revisionPtr revIDLastSave="0" documentId="8_{BE7DE932-B82E-48B1-9326-D2741A19CB57}" xr6:coauthVersionLast="47" xr6:coauthVersionMax="47" xr10:uidLastSave="{00000000-0000-0000-0000-000000000000}"/>
  <bookViews>
    <workbookView xWindow="-108" yWindow="-108" windowWidth="23256" windowHeight="12456" xr2:uid="{106750C6-E206-411E-BE74-8035C9F22CD7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01" i="1" l="1"/>
  <c r="AA101" i="1"/>
  <c r="Z101" i="1"/>
  <c r="Y101" i="1"/>
  <c r="X101" i="1"/>
  <c r="W101" i="1"/>
  <c r="AB100" i="1"/>
  <c r="AA100" i="1"/>
  <c r="Z100" i="1"/>
  <c r="Y100" i="1"/>
  <c r="X100" i="1"/>
  <c r="W100" i="1"/>
  <c r="AB99" i="1"/>
  <c r="AA99" i="1"/>
  <c r="Z99" i="1"/>
  <c r="Y99" i="1"/>
  <c r="X99" i="1"/>
  <c r="W99" i="1"/>
  <c r="AB98" i="1"/>
  <c r="AA98" i="1"/>
  <c r="Z98" i="1"/>
  <c r="Y98" i="1"/>
  <c r="X98" i="1"/>
  <c r="W98" i="1"/>
  <c r="AB97" i="1"/>
  <c r="AA97" i="1"/>
  <c r="Z97" i="1"/>
  <c r="Y97" i="1"/>
  <c r="X97" i="1"/>
  <c r="W97" i="1"/>
  <c r="AB96" i="1"/>
  <c r="AA96" i="1"/>
  <c r="Z96" i="1"/>
  <c r="Y96" i="1"/>
  <c r="X96" i="1"/>
  <c r="W96" i="1"/>
  <c r="AB95" i="1"/>
  <c r="AA95" i="1"/>
  <c r="Z95" i="1"/>
  <c r="Y95" i="1"/>
  <c r="X95" i="1"/>
  <c r="W95" i="1"/>
  <c r="AB94" i="1"/>
  <c r="AA94" i="1"/>
  <c r="Z94" i="1"/>
  <c r="Y94" i="1"/>
  <c r="X94" i="1"/>
  <c r="W94" i="1"/>
  <c r="AB93" i="1"/>
  <c r="AA93" i="1"/>
  <c r="Z93" i="1"/>
  <c r="Y93" i="1"/>
  <c r="X93" i="1"/>
  <c r="W93" i="1"/>
  <c r="AB92" i="1"/>
  <c r="AA92" i="1"/>
  <c r="Z92" i="1"/>
  <c r="Y92" i="1"/>
  <c r="X92" i="1"/>
  <c r="W92" i="1"/>
  <c r="AB91" i="1"/>
  <c r="AA91" i="1"/>
  <c r="Z91" i="1"/>
  <c r="Y91" i="1"/>
  <c r="X91" i="1"/>
  <c r="W91" i="1"/>
  <c r="AB90" i="1"/>
  <c r="AA90" i="1"/>
  <c r="Z90" i="1"/>
  <c r="Y90" i="1"/>
  <c r="X90" i="1"/>
  <c r="W90" i="1"/>
  <c r="AB89" i="1"/>
  <c r="AA89" i="1"/>
  <c r="Z89" i="1"/>
  <c r="Y89" i="1"/>
  <c r="X89" i="1"/>
  <c r="W89" i="1"/>
  <c r="AB88" i="1"/>
  <c r="AA88" i="1"/>
  <c r="Z88" i="1"/>
  <c r="Y88" i="1"/>
  <c r="X88" i="1"/>
  <c r="W88" i="1"/>
  <c r="AB87" i="1"/>
  <c r="AA87" i="1"/>
  <c r="Z87" i="1"/>
  <c r="Y87" i="1"/>
  <c r="X87" i="1"/>
  <c r="W87" i="1"/>
  <c r="AB86" i="1"/>
  <c r="AA86" i="1"/>
  <c r="Z86" i="1"/>
  <c r="Y86" i="1"/>
  <c r="X86" i="1"/>
  <c r="W86" i="1"/>
  <c r="AB85" i="1"/>
  <c r="AA85" i="1"/>
  <c r="Z85" i="1"/>
  <c r="Y85" i="1"/>
  <c r="X85" i="1"/>
  <c r="W85" i="1"/>
  <c r="AB84" i="1"/>
  <c r="AA84" i="1"/>
  <c r="Z84" i="1"/>
  <c r="Y84" i="1"/>
  <c r="X84" i="1"/>
  <c r="W84" i="1"/>
  <c r="AB83" i="1"/>
  <c r="AA83" i="1"/>
  <c r="Z83" i="1"/>
  <c r="Y83" i="1"/>
  <c r="X83" i="1"/>
  <c r="W83" i="1"/>
  <c r="AB82" i="1"/>
  <c r="AA82" i="1"/>
  <c r="Z82" i="1"/>
  <c r="Y82" i="1"/>
  <c r="X82" i="1"/>
  <c r="W82" i="1"/>
  <c r="AB81" i="1"/>
  <c r="AA81" i="1"/>
  <c r="Z81" i="1"/>
  <c r="Y81" i="1"/>
  <c r="X81" i="1"/>
  <c r="W81" i="1"/>
  <c r="AB80" i="1"/>
  <c r="AA80" i="1"/>
  <c r="Z80" i="1"/>
  <c r="Y80" i="1"/>
  <c r="X80" i="1"/>
  <c r="W80" i="1"/>
  <c r="AB79" i="1"/>
  <c r="AA79" i="1"/>
  <c r="Z79" i="1"/>
  <c r="Y79" i="1"/>
  <c r="X79" i="1"/>
  <c r="W79" i="1"/>
  <c r="AB78" i="1"/>
  <c r="AA78" i="1"/>
  <c r="Z78" i="1"/>
  <c r="Y78" i="1"/>
  <c r="X78" i="1"/>
  <c r="W78" i="1"/>
  <c r="AB77" i="1"/>
  <c r="AA77" i="1"/>
  <c r="Z77" i="1"/>
  <c r="Y77" i="1"/>
  <c r="X77" i="1"/>
  <c r="W77" i="1"/>
  <c r="AB76" i="1"/>
  <c r="AA76" i="1"/>
  <c r="Z76" i="1"/>
  <c r="Y76" i="1"/>
  <c r="X76" i="1"/>
  <c r="W76" i="1"/>
  <c r="AB75" i="1"/>
  <c r="AA75" i="1"/>
  <c r="Z75" i="1"/>
  <c r="Y75" i="1"/>
  <c r="X75" i="1"/>
  <c r="W75" i="1"/>
  <c r="AB74" i="1"/>
  <c r="AA74" i="1"/>
  <c r="Z74" i="1"/>
  <c r="Y74" i="1"/>
  <c r="X74" i="1"/>
  <c r="W74" i="1"/>
  <c r="AB73" i="1"/>
  <c r="AA73" i="1"/>
  <c r="Z73" i="1"/>
  <c r="Y73" i="1"/>
  <c r="X73" i="1"/>
  <c r="W73" i="1"/>
  <c r="AB72" i="1"/>
  <c r="AA72" i="1"/>
  <c r="Z72" i="1"/>
  <c r="Y72" i="1"/>
  <c r="X72" i="1"/>
  <c r="W72" i="1"/>
  <c r="AB71" i="1"/>
  <c r="AA71" i="1"/>
  <c r="Z71" i="1"/>
  <c r="Y71" i="1"/>
  <c r="X71" i="1"/>
  <c r="W71" i="1"/>
  <c r="AB70" i="1"/>
  <c r="AA70" i="1"/>
  <c r="Z70" i="1"/>
  <c r="Y70" i="1"/>
  <c r="X70" i="1"/>
  <c r="W70" i="1"/>
  <c r="AB69" i="1"/>
  <c r="AA69" i="1"/>
  <c r="Z69" i="1"/>
  <c r="Y69" i="1"/>
  <c r="X69" i="1"/>
  <c r="W69" i="1"/>
  <c r="AB68" i="1"/>
  <c r="AA68" i="1"/>
  <c r="Z68" i="1"/>
  <c r="Y68" i="1"/>
  <c r="X68" i="1"/>
  <c r="W68" i="1"/>
  <c r="AB67" i="1"/>
  <c r="AA67" i="1"/>
  <c r="Z67" i="1"/>
  <c r="Y67" i="1"/>
  <c r="X67" i="1"/>
  <c r="W67" i="1"/>
  <c r="AB66" i="1"/>
  <c r="AA66" i="1"/>
  <c r="Z66" i="1"/>
  <c r="Y66" i="1"/>
  <c r="X66" i="1"/>
  <c r="W66" i="1"/>
  <c r="AB65" i="1"/>
  <c r="AA65" i="1"/>
  <c r="Z65" i="1"/>
  <c r="Y65" i="1"/>
  <c r="X65" i="1"/>
  <c r="W65" i="1"/>
  <c r="AB64" i="1"/>
  <c r="AA64" i="1"/>
  <c r="Z64" i="1"/>
  <c r="Y64" i="1"/>
  <c r="X64" i="1"/>
  <c r="W64" i="1"/>
  <c r="AB63" i="1"/>
  <c r="AA63" i="1"/>
  <c r="Z63" i="1"/>
  <c r="Y63" i="1"/>
  <c r="X63" i="1"/>
  <c r="W63" i="1"/>
  <c r="AB62" i="1"/>
  <c r="AA62" i="1"/>
  <c r="Z62" i="1"/>
  <c r="Y62" i="1"/>
  <c r="X62" i="1"/>
  <c r="W62" i="1"/>
  <c r="AB61" i="1"/>
  <c r="AA61" i="1"/>
  <c r="Z61" i="1"/>
  <c r="Y61" i="1"/>
  <c r="X61" i="1"/>
  <c r="W61" i="1"/>
  <c r="AB60" i="1"/>
  <c r="AA60" i="1"/>
  <c r="Z60" i="1"/>
  <c r="Y60" i="1"/>
  <c r="X60" i="1"/>
  <c r="W60" i="1"/>
  <c r="AB59" i="1"/>
  <c r="AA59" i="1"/>
  <c r="Z59" i="1"/>
  <c r="Y59" i="1"/>
  <c r="X59" i="1"/>
  <c r="W59" i="1"/>
  <c r="AB58" i="1"/>
  <c r="AA58" i="1"/>
  <c r="Z58" i="1"/>
  <c r="Y58" i="1"/>
  <c r="X58" i="1"/>
  <c r="W58" i="1"/>
  <c r="AB57" i="1"/>
  <c r="AA57" i="1"/>
  <c r="Z57" i="1"/>
  <c r="Y57" i="1"/>
  <c r="X57" i="1"/>
  <c r="W57" i="1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AB53" i="1"/>
  <c r="AA53" i="1"/>
  <c r="Z53" i="1"/>
  <c r="Y53" i="1"/>
  <c r="X53" i="1"/>
  <c r="W53" i="1"/>
  <c r="AB52" i="1"/>
  <c r="AA52" i="1"/>
  <c r="Z52" i="1"/>
  <c r="Y52" i="1"/>
  <c r="X52" i="1"/>
  <c r="W52" i="1"/>
  <c r="AB51" i="1"/>
  <c r="AA51" i="1"/>
  <c r="Z51" i="1"/>
  <c r="Y51" i="1"/>
  <c r="X51" i="1"/>
  <c r="W51" i="1"/>
  <c r="AB50" i="1"/>
  <c r="AA50" i="1"/>
  <c r="Z50" i="1"/>
  <c r="Y50" i="1"/>
  <c r="X50" i="1"/>
  <c r="W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AB35" i="1"/>
  <c r="AA35" i="1"/>
  <c r="Z35" i="1"/>
  <c r="Y35" i="1"/>
  <c r="X35" i="1"/>
  <c r="W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AB8" i="1"/>
  <c r="AA8" i="1"/>
  <c r="Z8" i="1"/>
  <c r="Y8" i="1"/>
  <c r="X8" i="1"/>
  <c r="W8" i="1"/>
  <c r="AB7" i="1"/>
  <c r="AA7" i="1"/>
  <c r="Z7" i="1"/>
  <c r="Y7" i="1"/>
  <c r="X7" i="1"/>
  <c r="W7" i="1"/>
  <c r="AB6" i="1"/>
  <c r="AA6" i="1"/>
  <c r="Z6" i="1"/>
  <c r="Y6" i="1"/>
  <c r="X6" i="1"/>
  <c r="W6" i="1"/>
  <c r="AB5" i="1"/>
  <c r="AA5" i="1"/>
  <c r="Z5" i="1"/>
  <c r="Y5" i="1"/>
  <c r="X5" i="1"/>
  <c r="W5" i="1"/>
  <c r="AB4" i="1"/>
  <c r="AA4" i="1"/>
  <c r="Z4" i="1"/>
  <c r="Y4" i="1"/>
  <c r="X4" i="1"/>
  <c r="W4" i="1"/>
  <c r="AB3" i="1"/>
  <c r="AA3" i="1"/>
  <c r="Z3" i="1"/>
  <c r="Y3" i="1"/>
  <c r="X3" i="1"/>
  <c r="W3" i="1"/>
  <c r="AB2" i="1"/>
  <c r="AA2" i="1"/>
  <c r="Z2" i="1"/>
  <c r="Y2" i="1"/>
  <c r="X2" i="1"/>
  <c r="W2" i="1"/>
</calcChain>
</file>

<file path=xl/sharedStrings.xml><?xml version="1.0" encoding="utf-8"?>
<sst xmlns="http://schemas.openxmlformats.org/spreadsheetml/2006/main" count="828" uniqueCount="154">
  <si>
    <t>Haircare</t>
  </si>
  <si>
    <t>SKU0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</si>
  <si>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</si>
  <si>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</si>
  <si>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</si>
  <si>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</si>
  <si>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</si>
  <si>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</si>
  <si>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</si>
  <si>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</si>
  <si>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Carrier A</t>
  </si>
  <si>
    <t>SKU2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</si>
  <si>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</si>
  <si>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</si>
  <si>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</si>
  <si>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</si>
  <si>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</si>
  <si>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</si>
  <si>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</si>
  <si>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</si>
  <si>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</si>
  <si>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</si>
  <si>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</si>
  <si>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</si>
  <si>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</si>
  <si>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</si>
  <si>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</si>
  <si>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</si>
  <si>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</si>
  <si>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</si>
  <si>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</si>
  <si>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</si>
  <si>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</si>
  <si>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</si>
  <si>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</si>
  <si>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</si>
  <si>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</si>
  <si>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</si>
  <si>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</si>
  <si>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</si>
  <si>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</si>
  <si>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</si>
  <si>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</si>
  <si>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</si>
  <si>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</si>
  <si>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</si>
  <si>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</si>
  <si>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</si>
  <si>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</si>
  <si>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</si>
  <si>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</si>
  <si>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</si>
  <si>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</si>
  <si>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</si>
  <si>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</si>
  <si>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</si>
  <si>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</si>
  <si>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</si>
  <si>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</si>
  <si>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</si>
  <si>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</si>
  <si>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</si>
  <si>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</si>
  <si>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</si>
  <si>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</si>
  <si>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</si>
  <si>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</si>
  <si>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</si>
  <si>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</si>
  <si>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</si>
  <si>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</si>
  <si>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</si>
  <si>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</si>
  <si>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</si>
  <si>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</si>
  <si>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</si>
  <si>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</si>
  <si>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</si>
  <si>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</si>
  <si>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</si>
  <si>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</si>
  <si>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</si>
  <si>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</si>
  <si>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</si>
  <si>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</si>
  <si>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</si>
  <si>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</si>
  <si>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</si>
  <si>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</si>
  <si>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</si>
  <si>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</si>
  <si>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</si>
  <si>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</si>
  <si>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</si>
  <si>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</si>
  <si>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</si>
  <si>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</si>
  <si>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</si>
  <si>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</si>
  <si>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</si>
  <si>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</si>
  <si>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</si>
  <si>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</si>
  <si>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</si>
  <si>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</si>
  <si>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</si>
  <si>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</si>
  <si>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</si>
  <si>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</si>
  <si>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</si>
  <si>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</si>
  <si>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</si>
  <si>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</si>
  <si>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</si>
  <si>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</si>
  <si>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</si>
  <si>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</si>
  <si>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</si>
  <si>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</si>
  <si>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</si>
  <si>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</si>
  <si>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</si>
  <si>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</si>
  <si>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</si>
  <si>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</si>
  <si>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</si>
  <si>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Product type</t>
  </si>
  <si>
    <t>SKU</t>
  </si>
  <si>
    <t>Price</t>
  </si>
  <si>
    <t>Availability</t>
  </si>
  <si>
    <t>Number of products sold</t>
  </si>
  <si>
    <t>Revenue generated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</si>
  <si>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</si>
  <si>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</si>
  <si>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</si>
  <si>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</si>
  <si>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</si>
  <si>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</si>
  <si>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</si>
  <si>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</si>
  <si>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</si>
  <si>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</si>
  <si>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</si>
  <si>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</si>
  <si>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</si>
  <si>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</si>
  <si>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</si>
  <si>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</si>
  <si>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Total Cost</t>
  </si>
  <si>
    <t>Profit</t>
  </si>
  <si>
    <t>Profit  Margin%</t>
  </si>
  <si>
    <t>Inventory Status</t>
  </si>
  <si>
    <t>Risk Category</t>
  </si>
  <si>
    <t>Inspection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</si>
</sst>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2" fontId="0" fillId="2" borderId="2" xfId="1" applyNumberFormat="1" applyFont="1" applyFill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2" fontId="2" fillId="0" borderId="0" xfId="1" applyNumberFormat="1" applyFont="1"/>
    <xf numFmtId="9" fontId="2" fillId="0" borderId="0" xfId="1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e4e87ae09cf5f9f/Desktop/Karmix/supply_chain_data.xlsx" TargetMode="External"/><Relationship Id="rId1" Type="http://schemas.openxmlformats.org/officeDocument/2006/relationships/externalLinkPath" Target="supply_chain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y_chain_data"/>
      <sheetName val="Data"/>
      <sheetName val="Pivot Tables"/>
      <sheetName val="Executive Summary "/>
      <sheetName val="Product Performance "/>
      <sheetName val="     Operations &amp; Supply Chai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27D03-22E0-45C5-89E4-FD7248593D04}" name="Table1" displayName="Table1" ref="A1:AB101" totalsRowShown="0" headerRowDxfId="0" dataDxfId="1" tableBorderDxfId="30">
  <tableColumns count="28">
    <tableColumn id="1" xr3:uid="{30D3112B-1579-4412-804C-072AA48595F7}" name="Product type" dataDxfId="29"/>
    <tableColumn id="2" xr3:uid="{863FC23E-251E-4A09-877A-4A63948EB046}" name="SKU" dataDxfId="28"/>
    <tableColumn id="3" xr3:uid="{70D688EF-046D-4C12-AA2D-C53E7D2347E6}" name="Price" dataDxfId="27"/>
    <tableColumn id="4" xr3:uid="{3A9B83D8-635E-4027-BD31-F28D03EB3473}" name="Availability" dataDxfId="26"/>
    <tableColumn id="5" xr3:uid="{1329D8C9-06F7-4A71-A22C-4EF4CA177D27}" name="Number of products sold" dataDxfId="25"/>
    <tableColumn id="6" xr3:uid="{88A491B2-A492-4C77-B52A-F84AA3887365}" name="Revenue generated" dataDxfId="24"/>
    <tableColumn id="7" xr3:uid="{81728FB4-119A-4906-A412-772FB6B7327C}" name="Stock levels" dataDxfId="23"/>
    <tableColumn id="8" xr3:uid="{337D87E3-C908-4AC2-891B-BACD82678A88}" name="Lead times" dataDxfId="22"/>
    <tableColumn id="9" xr3:uid="{82BE99A1-BC68-4074-BD39-CA9CC6EF262F}" name="Order quantities" dataDxfId="21"/>
    <tableColumn id="10" xr3:uid="{E1782EC4-CB83-401E-98D7-8340C4A92A1B}" name="Shipping times" dataDxfId="20"/>
    <tableColumn id="11" xr3:uid="{E96A76E5-ADC9-49CE-B704-3E56CFE0F706}" name="Shipping carriers" dataDxfId="19"/>
    <tableColumn id="12" xr3:uid="{3D4BB634-34B8-4743-A2FA-D66DCE4B0713}" name="Shipping costs" dataDxfId="18"/>
    <tableColumn id="13" xr3:uid="{701CD065-5096-43A0-8E74-C667E3C19EC0}" name="Supplier name" dataDxfId="17"/>
    <tableColumn id="14" xr3:uid="{8DC1305C-F25C-4F0C-A55D-F41E522D2297}" name="Location" dataDxfId="16"/>
    <tableColumn id="15" xr3:uid="{948D9C16-9CCB-4EBD-967B-E17E4D355E58}" name="Production volumes" dataDxfId="15"/>
    <tableColumn id="16" xr3:uid="{2B30B3D3-8BB7-4780-9331-8652587F3071}" name="Manufacturing lead time" dataDxfId="14"/>
    <tableColumn id="17" xr3:uid="{B51AF83F-B628-4690-905B-301135A3A133}" name="Manufacturing costs" dataDxfId="13"/>
    <tableColumn id="18" xr3:uid="{D1D97934-672D-4A94-9D23-FC7D64043756}" name="Inspection results" dataDxfId="12"/>
    <tableColumn id="19" xr3:uid="{E1F63516-C6C2-4951-A298-6D806C294029}" name="Defect rates" dataDxfId="11" dataCellStyle="Percent"/>
    <tableColumn id="20" xr3:uid="{6EA5DD5A-DA89-4350-8B76-FD952EA0DC88}" name="Transportation modes" dataDxfId="10"/>
    <tableColumn id="21" xr3:uid="{88907C8B-159D-4D6E-9CEC-DB3AEB8E1FAD}" name="Routes" dataDxfId="9"/>
    <tableColumn id="22" xr3:uid="{C1F05D06-2B6E-4C0D-8C55-26A88EB53CE4}" name="Costs" dataDxfId="8"/>
    <tableColumn id="23" xr3:uid="{5D8A69DA-EB21-43EE-8057-1948011D1748}" name="Total Cost" dataDxfId="7">
      <calculatedColumnFormula>[1]!Data[[#This Row],[Manufacturing costs]]+[1]!Data[[#This Row],[Shipping costs]]+[1]!Data[[#This Row],[Costs]]</calculatedColumnFormula>
    </tableColumn>
    <tableColumn id="24" xr3:uid="{16531C2A-2ACD-4E1B-865A-1950CB67BE85}" name="Profit" dataDxfId="6">
      <calculatedColumnFormula>[1]!Data[[#This Row],[Revenue generated]]- [1]!Data[[#This Row],[Total Cost]]</calculatedColumnFormula>
    </tableColumn>
    <tableColumn id="25" xr3:uid="{215905B4-76C9-40B7-920A-BE5CE6BD1979}" name="Profit  Margin%" dataDxfId="5" dataCellStyle="Percent">
      <calculatedColumnFormula>[1]!Data[[#This Row],[Profit]]/[1]!Data[[#This Row],[Revenue generated]]</calculatedColumnFormula>
    </tableColumn>
    <tableColumn id="26" xr3:uid="{9167F39F-1DB5-4A99-9B01-FCAC1D504174}" name="Inventory Status" dataDxfId="4">
      <calculatedColumnFormula>IF([1]!Data[[#This Row],[Stock levels]]&lt;20,"Low Stock","Healthy")</calculatedColumnFormula>
    </tableColumn>
    <tableColumn id="27" xr3:uid="{BB19E243-4985-471F-9B94-859421A65CCB}" name="Risk Category" dataDxfId="3">
      <calculatedColumnFormula>IF([1]!Data[[#This Row],[Defect rates]]&gt;3,"High Risk",
IF([1]!Data[[#This Row],[Defect rates]]&gt;1,"Medium Risk","Low Risk"))</calculatedColumnFormula>
    </tableColumn>
    <tableColumn id="28" xr3:uid="{77D6F3D5-8072-48F4-BDAF-C056E7A91D9F}" name="Inspection Score" dataDxfId="2">
      <calculatedColumnFormula>IF([1]!Data[[#This Row],[Inspection results]]="Pass",1,
IF([1]!Data[[#This Row],[Inspection results]]="Pending",0.5,0))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9DA6-DFAE-48D9-8293-4593A958811C}">
  <dimension ref="A1:AB101"/>
  <sheetViews>
    <sheetView tabSelected="1" workbookViewId="0">
      <selection activeCell="I6" sqref="I6"/>
    </sheetView>
  </sheetViews>
  <sheetFormatPr defaultRowHeight="14.4" x14ac:dyDescent="0.3"/>
  <cols>
    <col min="1" max="1" width="13.44140625" customWidth="1"/>
    <col min="3" max="3" width="7.21875" customWidth="1"/>
    <col min="4" max="4" width="12.33203125" customWidth="1"/>
    <col min="5" max="5" width="23.21875" customWidth="1"/>
    <col min="6" max="6" width="18.5546875" customWidth="1"/>
    <col min="7" max="7" width="12.88671875" customWidth="1"/>
    <col min="8" max="8" width="12" customWidth="1"/>
    <col min="9" max="9" width="16.44140625" customWidth="1"/>
    <col min="10" max="10" width="15.33203125" customWidth="1"/>
    <col min="11" max="11" width="17" customWidth="1"/>
    <col min="12" max="13" width="15" customWidth="1"/>
    <col min="14" max="14" width="10" customWidth="1"/>
    <col min="15" max="15" width="19.33203125" customWidth="1"/>
    <col min="16" max="16" width="22.88671875" customWidth="1"/>
    <col min="17" max="17" width="19.44140625" customWidth="1"/>
    <col min="18" max="18" width="17.6640625" customWidth="1"/>
    <col min="19" max="19" width="12.88671875" customWidth="1"/>
    <col min="20" max="20" width="21" customWidth="1"/>
    <col min="23" max="23" width="11.109375" customWidth="1"/>
    <col min="25" max="25" width="15.21875" customWidth="1"/>
    <col min="26" max="26" width="16.21875" customWidth="1"/>
    <col min="27" max="27" width="14.109375" customWidth="1"/>
    <col min="28" max="28" width="16.77734375" customWidth="1"/>
  </cols>
  <sheetData>
    <row r="1" spans="1:28" s="15" customFormat="1" x14ac:dyDescent="0.3">
      <c r="A1" s="15" t="s">
        <v>126</v>
      </c>
      <c r="B1" s="15" t="s">
        <v>127</v>
      </c>
      <c r="C1" s="16" t="s">
        <v>128</v>
      </c>
      <c r="D1" s="15" t="s">
        <v>129</v>
      </c>
      <c r="E1" s="15" t="s">
        <v>130</v>
      </c>
      <c r="F1" s="16" t="s">
        <v>131</v>
      </c>
      <c r="G1" s="15" t="s">
        <v>132</v>
      </c>
      <c r="H1" s="15" t="s">
        <v>133</v>
      </c>
      <c r="I1" s="15" t="s">
        <v>134</v>
      </c>
      <c r="J1" s="15" t="s">
        <v>135</v>
      </c>
      <c r="K1" s="15" t="s">
        <v>136</v>
      </c>
      <c r="L1" s="16" t="s">
        <v>137</v>
      </c>
      <c r="M1" s="15" t="s">
        <v>138</v>
      </c>
      <c r="N1" s="15" t="s">
        <v>139</v>
      </c>
      <c r="O1" s="15" t="s">
        <v>140</v>
      </c>
      <c r="P1" s="15" t="s">
        <v>141</v>
      </c>
      <c r="Q1" s="16" t="s">
        <v>142</v>
      </c>
      <c r="R1" s="15" t="s">
        <v>143</v>
      </c>
      <c r="S1" s="17" t="s">
        <v>144</v>
      </c>
      <c r="T1" s="15" t="s">
        <v>145</v>
      </c>
      <c r="U1" s="15" t="s">
        <v>146</v>
      </c>
      <c r="V1" s="16" t="s">
        <v>147</v>
      </c>
      <c r="W1" s="16" t="s">
        <v>148</v>
      </c>
      <c r="X1" s="16" t="s">
        <v>149</v>
      </c>
      <c r="Y1" s="18" t="s">
        <v>150</v>
      </c>
      <c r="Z1" s="15" t="s">
        <v>151</v>
      </c>
      <c r="AA1" s="15" t="s">
        <v>152</v>
      </c>
      <c r="AB1" s="15" t="s">
        <v>153</v>
      </c>
    </row>
    <row r="2" spans="1:28" x14ac:dyDescent="0.3">
      <c r="A2" s="1" t="s">
        <v>0</v>
      </c>
      <c r="B2" s="2" t="s">
        <v>1</v>
      </c>
      <c r="C2" s="3">
        <v>69.808005542115694</v>
      </c>
      <c r="D2" s="2">
        <v>55</v>
      </c>
      <c r="E2" s="2">
        <v>802</v>
      </c>
      <c r="F2" s="3">
        <v>8661.9967923923796</v>
      </c>
      <c r="G2" s="2">
        <v>58</v>
      </c>
      <c r="H2" s="2">
        <v>7</v>
      </c>
      <c r="I2" s="2">
        <v>96</v>
      </c>
      <c r="J2" s="2">
        <v>4</v>
      </c>
      <c r="K2" s="2" t="s">
        <v>2</v>
      </c>
      <c r="L2" s="3">
        <v>2.9565721394308002</v>
      </c>
      <c r="M2" s="2" t="s">
        <v>3</v>
      </c>
      <c r="N2" s="2" t="s">
        <v>4</v>
      </c>
      <c r="O2" s="2">
        <v>215</v>
      </c>
      <c r="P2" s="2">
        <v>29</v>
      </c>
      <c r="Q2" s="3">
        <v>46.279879240508301</v>
      </c>
      <c r="R2" s="2" t="s">
        <v>5</v>
      </c>
      <c r="S2" s="4">
        <v>0.226410360849925</v>
      </c>
      <c r="T2" s="2" t="s">
        <v>6</v>
      </c>
      <c r="U2" s="2" t="s">
        <v>7</v>
      </c>
      <c r="V2" s="3">
        <v>187.75207545920301</v>
      </c>
      <c r="W2" s="3">
        <f>[1]!Data[[#This Row],[Manufacturing costs]]+[1]!Data[[#This Row],[Shipping costs]]+[1]!Data[[#This Row],[Costs]]</f>
        <v>236.98852683914211</v>
      </c>
      <c r="X2" s="3">
        <f>[1]!Data[[#This Row],[Revenue generated]]- [1]!Data[[#This Row],[Total Cost]]</f>
        <v>8425.0082655532369</v>
      </c>
      <c r="Y2" s="5">
        <f>[1]!Data[[#This Row],[Profit]]/[1]!Data[[#This Row],[Revenue generated]]</f>
        <v>0.97264042777673576</v>
      </c>
      <c r="Z2" s="6" t="str">
        <f>IF([1]!Data[[#This Row],[Stock levels]]&lt;20,"Low Stock","Healthy")</f>
        <v>Healthy</v>
      </c>
      <c r="AA2" s="6" t="str">
        <f>IF([1]!Data[[#This Row],[Defect rates]]&gt;3,"High Risk",
IF([1]!Data[[#This Row],[Defect rates]]&gt;1,"Medium Risk","Low Risk"))</f>
        <v>Low Risk</v>
      </c>
      <c r="AB2" s="7">
        <f>IF([1]!Data[[#This Row],[Inspection results]]="Pass",1,
IF([1]!Data[[#This Row],[Inspection results]]="Pending",0.5,0))</f>
        <v>0.5</v>
      </c>
    </row>
    <row r="3" spans="1:28" x14ac:dyDescent="0.3">
      <c r="A3" s="8" t="s">
        <v>8</v>
      </c>
      <c r="B3" s="9" t="s">
        <v>9</v>
      </c>
      <c r="C3" s="10">
        <v>14.8435232750843</v>
      </c>
      <c r="D3" s="9">
        <v>95</v>
      </c>
      <c r="E3" s="9">
        <v>736</v>
      </c>
      <c r="F3" s="10">
        <v>7460.9000654458396</v>
      </c>
      <c r="G3" s="9">
        <v>53</v>
      </c>
      <c r="H3" s="9">
        <v>30</v>
      </c>
      <c r="I3" s="9">
        <v>37</v>
      </c>
      <c r="J3" s="9">
        <v>2</v>
      </c>
      <c r="K3" s="9" t="s">
        <v>10</v>
      </c>
      <c r="L3" s="10">
        <v>9.7165747714313095</v>
      </c>
      <c r="M3" s="9" t="s">
        <v>3</v>
      </c>
      <c r="N3" s="9" t="s">
        <v>4</v>
      </c>
      <c r="O3" s="9">
        <v>517</v>
      </c>
      <c r="P3" s="9">
        <v>30</v>
      </c>
      <c r="Q3" s="10">
        <v>33.616768953730002</v>
      </c>
      <c r="R3" s="9" t="s">
        <v>5</v>
      </c>
      <c r="S3" s="11">
        <v>4.8540680263886999</v>
      </c>
      <c r="T3" s="9" t="s">
        <v>6</v>
      </c>
      <c r="U3" s="9" t="s">
        <v>7</v>
      </c>
      <c r="V3" s="10">
        <v>503.06557914966902</v>
      </c>
      <c r="W3" s="10">
        <f>[1]!Data[[#This Row],[Manufacturing costs]]+[1]!Data[[#This Row],[Shipping costs]]+[1]!Data[[#This Row],[Costs]]</f>
        <v>546.3989228748303</v>
      </c>
      <c r="X3" s="10">
        <f>[1]!Data[[#This Row],[Revenue generated]]- [1]!Data[[#This Row],[Total Cost]]</f>
        <v>6914.501142571009</v>
      </c>
      <c r="Y3" s="12">
        <f>[1]!Data[[#This Row],[Profit]]/[1]!Data[[#This Row],[Revenue generated]]</f>
        <v>0.92676501252102217</v>
      </c>
      <c r="Z3" s="13" t="str">
        <f>IF([1]!Data[[#This Row],[Stock levels]]&lt;20,"Low Stock","Healthy")</f>
        <v>Healthy</v>
      </c>
      <c r="AA3" s="13" t="str">
        <f>IF([1]!Data[[#This Row],[Defect rates]]&gt;3,"High Risk",
IF([1]!Data[[#This Row],[Defect rates]]&gt;1,"Medium Risk","Low Risk"))</f>
        <v>High Risk</v>
      </c>
      <c r="AB3" s="14">
        <f>IF([1]!Data[[#This Row],[Inspection results]]="Pass",1,
IF([1]!Data[[#This Row],[Inspection results]]="Pending",0.5,0))</f>
        <v>0.5</v>
      </c>
    </row>
    <row r="4" spans="1:28" x14ac:dyDescent="0.3">
      <c r="A4" s="1" t="s">
        <v>0</v>
      </c>
      <c r="B4" s="2" t="s">
        <v>11</v>
      </c>
      <c r="C4" s="3">
        <v>11.319683293090501</v>
      </c>
      <c r="D4" s="2">
        <v>34</v>
      </c>
      <c r="E4" s="2">
        <v>8</v>
      </c>
      <c r="F4" s="3">
        <v>9577.7496258687297</v>
      </c>
      <c r="G4" s="2">
        <v>1</v>
      </c>
      <c r="H4" s="2">
        <v>10</v>
      </c>
      <c r="I4" s="2">
        <v>88</v>
      </c>
      <c r="J4" s="2">
        <v>2</v>
      </c>
      <c r="K4" s="2" t="s">
        <v>2</v>
      </c>
      <c r="L4" s="3">
        <v>8.0544792617321495</v>
      </c>
      <c r="M4" s="2" t="s">
        <v>12</v>
      </c>
      <c r="N4" s="2" t="s">
        <v>4</v>
      </c>
      <c r="O4" s="2">
        <v>971</v>
      </c>
      <c r="P4" s="2">
        <v>27</v>
      </c>
      <c r="Q4" s="3">
        <v>30.6880193482842</v>
      </c>
      <c r="R4" s="2" t="s">
        <v>5</v>
      </c>
      <c r="S4" s="4">
        <v>4.5805926191992201</v>
      </c>
      <c r="T4" s="2" t="s">
        <v>13</v>
      </c>
      <c r="U4" s="2" t="s">
        <v>14</v>
      </c>
      <c r="V4" s="3">
        <v>141.920281771519</v>
      </c>
      <c r="W4" s="3">
        <f>[1]!Data[[#This Row],[Manufacturing costs]]+[1]!Data[[#This Row],[Shipping costs]]+[1]!Data[[#This Row],[Costs]]</f>
        <v>180.66278038153536</v>
      </c>
      <c r="X4" s="3">
        <f>[1]!Data[[#This Row],[Revenue generated]]- [1]!Data[[#This Row],[Total Cost]]</f>
        <v>9397.0868454871943</v>
      </c>
      <c r="Y4" s="5">
        <f>[1]!Data[[#This Row],[Profit]]/[1]!Data[[#This Row],[Revenue generated]]</f>
        <v>0.98113724126870261</v>
      </c>
      <c r="Z4" s="6" t="str">
        <f>IF([1]!Data[[#This Row],[Stock levels]]&lt;20,"Low Stock","Healthy")</f>
        <v>Low Stock</v>
      </c>
      <c r="AA4" s="6" t="str">
        <f>IF([1]!Data[[#This Row],[Defect rates]]&gt;3,"High Risk",
IF([1]!Data[[#This Row],[Defect rates]]&gt;1,"Medium Risk","Low Risk"))</f>
        <v>High Risk</v>
      </c>
      <c r="AB4" s="7">
        <f>IF([1]!Data[[#This Row],[Inspection results]]="Pass",1,
IF([1]!Data[[#This Row],[Inspection results]]="Pending",0.5,0))</f>
        <v>0.5</v>
      </c>
    </row>
    <row r="5" spans="1:28" x14ac:dyDescent="0.3">
      <c r="A5" s="8" t="s">
        <v>8</v>
      </c>
      <c r="B5" s="9" t="s">
        <v>15</v>
      </c>
      <c r="C5" s="10">
        <v>61.1633430164377</v>
      </c>
      <c r="D5" s="9">
        <v>68</v>
      </c>
      <c r="E5" s="9">
        <v>83</v>
      </c>
      <c r="F5" s="10">
        <v>7766.8364256852301</v>
      </c>
      <c r="G5" s="9">
        <v>23</v>
      </c>
      <c r="H5" s="9">
        <v>13</v>
      </c>
      <c r="I5" s="9">
        <v>59</v>
      </c>
      <c r="J5" s="9">
        <v>6</v>
      </c>
      <c r="K5" s="9" t="s">
        <v>16</v>
      </c>
      <c r="L5" s="10">
        <v>1.7295685635434199</v>
      </c>
      <c r="M5" s="9" t="s">
        <v>17</v>
      </c>
      <c r="N5" s="9" t="s">
        <v>18</v>
      </c>
      <c r="O5" s="9">
        <v>937</v>
      </c>
      <c r="P5" s="9">
        <v>18</v>
      </c>
      <c r="Q5" s="10">
        <v>35.624741397125</v>
      </c>
      <c r="R5" s="9" t="s">
        <v>19</v>
      </c>
      <c r="S5" s="11">
        <v>4.7466486206477496</v>
      </c>
      <c r="T5" s="9" t="s">
        <v>20</v>
      </c>
      <c r="U5" s="9" t="s">
        <v>21</v>
      </c>
      <c r="V5" s="10">
        <v>254.776159219286</v>
      </c>
      <c r="W5" s="10">
        <f>[1]!Data[[#This Row],[Manufacturing costs]]+[1]!Data[[#This Row],[Shipping costs]]+[1]!Data[[#This Row],[Costs]]</f>
        <v>292.13046917995439</v>
      </c>
      <c r="X5" s="10">
        <f>[1]!Data[[#This Row],[Revenue generated]]- [1]!Data[[#This Row],[Total Cost]]</f>
        <v>7474.7059565052759</v>
      </c>
      <c r="Y5" s="12">
        <f>[1]!Data[[#This Row],[Profit]]/[1]!Data[[#This Row],[Revenue generated]]</f>
        <v>0.96238745698134343</v>
      </c>
      <c r="Z5" s="13" t="str">
        <f>IF([1]!Data[[#This Row],[Stock levels]]&lt;20,"Low Stock","Healthy")</f>
        <v>Healthy</v>
      </c>
      <c r="AA5" s="13" t="str">
        <f>IF([1]!Data[[#This Row],[Defect rates]]&gt;3,"High Risk",
IF([1]!Data[[#This Row],[Defect rates]]&gt;1,"Medium Risk","Low Risk"))</f>
        <v>High Risk</v>
      </c>
      <c r="AB5" s="14">
        <f>IF([1]!Data[[#This Row],[Inspection results]]="Pass",1,
IF([1]!Data[[#This Row],[Inspection results]]="Pending",0.5,0))</f>
        <v>0</v>
      </c>
    </row>
    <row r="6" spans="1:28" x14ac:dyDescent="0.3">
      <c r="A6" s="1" t="s">
        <v>8</v>
      </c>
      <c r="B6" s="2" t="s">
        <v>22</v>
      </c>
      <c r="C6" s="3">
        <v>4.8054960363458896</v>
      </c>
      <c r="D6" s="2">
        <v>26</v>
      </c>
      <c r="E6" s="2">
        <v>871</v>
      </c>
      <c r="F6" s="3">
        <v>2686.50515156744</v>
      </c>
      <c r="G6" s="2">
        <v>5</v>
      </c>
      <c r="H6" s="2">
        <v>3</v>
      </c>
      <c r="I6" s="2">
        <v>56</v>
      </c>
      <c r="J6" s="2">
        <v>8</v>
      </c>
      <c r="K6" s="2" t="s">
        <v>10</v>
      </c>
      <c r="L6" s="3">
        <v>3.8905479158706702</v>
      </c>
      <c r="M6" s="2" t="s">
        <v>12</v>
      </c>
      <c r="N6" s="2" t="s">
        <v>23</v>
      </c>
      <c r="O6" s="2">
        <v>414</v>
      </c>
      <c r="P6" s="2">
        <v>3</v>
      </c>
      <c r="Q6" s="3">
        <v>92.065160598712794</v>
      </c>
      <c r="R6" s="2" t="s">
        <v>19</v>
      </c>
      <c r="S6" s="4">
        <v>3.1455795228330001</v>
      </c>
      <c r="T6" s="2" t="s">
        <v>13</v>
      </c>
      <c r="U6" s="2" t="s">
        <v>21</v>
      </c>
      <c r="V6" s="3">
        <v>923.44063171192204</v>
      </c>
      <c r="W6" s="3">
        <f>[1]!Data[[#This Row],[Manufacturing costs]]+[1]!Data[[#This Row],[Shipping costs]]+[1]!Data[[#This Row],[Costs]]</f>
        <v>1019.3963402265055</v>
      </c>
      <c r="X6" s="3">
        <f>[1]!Data[[#This Row],[Revenue generated]]- [1]!Data[[#This Row],[Total Cost]]</f>
        <v>1667.1088113409346</v>
      </c>
      <c r="Y6" s="5">
        <f>[1]!Data[[#This Row],[Profit]]/[1]!Data[[#This Row],[Revenue generated]]</f>
        <v>0.62054927025479956</v>
      </c>
      <c r="Z6" s="6" t="str">
        <f>IF([1]!Data[[#This Row],[Stock levels]]&lt;20,"Low Stock","Healthy")</f>
        <v>Low Stock</v>
      </c>
      <c r="AA6" s="6" t="str">
        <f>IF([1]!Data[[#This Row],[Defect rates]]&gt;3,"High Risk",
IF([1]!Data[[#This Row],[Defect rates]]&gt;1,"Medium Risk","Low Risk"))</f>
        <v>High Risk</v>
      </c>
      <c r="AB6" s="7">
        <f>IF([1]!Data[[#This Row],[Inspection results]]="Pass",1,
IF([1]!Data[[#This Row],[Inspection results]]="Pending",0.5,0))</f>
        <v>0</v>
      </c>
    </row>
    <row r="7" spans="1:28" x14ac:dyDescent="0.3">
      <c r="A7" s="8" t="s">
        <v>0</v>
      </c>
      <c r="B7" s="9" t="s">
        <v>24</v>
      </c>
      <c r="C7" s="10">
        <v>1.6999760138659299</v>
      </c>
      <c r="D7" s="9">
        <v>87</v>
      </c>
      <c r="E7" s="9">
        <v>147</v>
      </c>
      <c r="F7" s="10">
        <v>2828.3487459757498</v>
      </c>
      <c r="G7" s="9">
        <v>90</v>
      </c>
      <c r="H7" s="9">
        <v>27</v>
      </c>
      <c r="I7" s="9">
        <v>66</v>
      </c>
      <c r="J7" s="9">
        <v>3</v>
      </c>
      <c r="K7" s="9" t="s">
        <v>2</v>
      </c>
      <c r="L7" s="10">
        <v>4.4440988643822896</v>
      </c>
      <c r="M7" s="9" t="s">
        <v>25</v>
      </c>
      <c r="N7" s="9" t="s">
        <v>26</v>
      </c>
      <c r="O7" s="9">
        <v>104</v>
      </c>
      <c r="P7" s="9">
        <v>17</v>
      </c>
      <c r="Q7" s="10">
        <v>56.766475557431797</v>
      </c>
      <c r="R7" s="9" t="s">
        <v>19</v>
      </c>
      <c r="S7" s="11">
        <v>2.7791935115711599</v>
      </c>
      <c r="T7" s="9" t="s">
        <v>6</v>
      </c>
      <c r="U7" s="9" t="s">
        <v>21</v>
      </c>
      <c r="V7" s="10">
        <v>235.461236735537</v>
      </c>
      <c r="W7" s="10">
        <f>[1]!Data[[#This Row],[Manufacturing costs]]+[1]!Data[[#This Row],[Shipping costs]]+[1]!Data[[#This Row],[Costs]]</f>
        <v>296.6718111573511</v>
      </c>
      <c r="X7" s="10">
        <f>[1]!Data[[#This Row],[Revenue generated]]- [1]!Data[[#This Row],[Total Cost]]</f>
        <v>2531.6769348183989</v>
      </c>
      <c r="Y7" s="12">
        <f>[1]!Data[[#This Row],[Profit]]/[1]!Data[[#This Row],[Revenue generated]]</f>
        <v>0.89510776859485119</v>
      </c>
      <c r="Z7" s="13" t="str">
        <f>IF([1]!Data[[#This Row],[Stock levels]]&lt;20,"Low Stock","Healthy")</f>
        <v>Healthy</v>
      </c>
      <c r="AA7" s="13" t="str">
        <f>IF([1]!Data[[#This Row],[Defect rates]]&gt;3,"High Risk",
IF([1]!Data[[#This Row],[Defect rates]]&gt;1,"Medium Risk","Low Risk"))</f>
        <v>Medium Risk</v>
      </c>
      <c r="AB7" s="14">
        <f>IF([1]!Data[[#This Row],[Inspection results]]="Pass",1,
IF([1]!Data[[#This Row],[Inspection results]]="Pending",0.5,0))</f>
        <v>0</v>
      </c>
    </row>
    <row r="8" spans="1:28" x14ac:dyDescent="0.3">
      <c r="A8" s="1" t="s">
        <v>8</v>
      </c>
      <c r="B8" s="2" t="s">
        <v>27</v>
      </c>
      <c r="C8" s="3">
        <v>4.0783328631079403</v>
      </c>
      <c r="D8" s="2">
        <v>48</v>
      </c>
      <c r="E8" s="2">
        <v>65</v>
      </c>
      <c r="F8" s="3">
        <v>7823.4765595317303</v>
      </c>
      <c r="G8" s="2">
        <v>11</v>
      </c>
      <c r="H8" s="2">
        <v>15</v>
      </c>
      <c r="I8" s="2">
        <v>58</v>
      </c>
      <c r="J8" s="2">
        <v>8</v>
      </c>
      <c r="K8" s="2" t="s">
        <v>16</v>
      </c>
      <c r="L8" s="3">
        <v>3.8807633029519999</v>
      </c>
      <c r="M8" s="2" t="s">
        <v>3</v>
      </c>
      <c r="N8" s="2" t="s">
        <v>18</v>
      </c>
      <c r="O8" s="2">
        <v>314</v>
      </c>
      <c r="P8" s="2">
        <v>24</v>
      </c>
      <c r="Q8" s="3">
        <v>1.0850685695870601</v>
      </c>
      <c r="R8" s="2" t="s">
        <v>5</v>
      </c>
      <c r="S8" s="4">
        <v>1.0009106193041299</v>
      </c>
      <c r="T8" s="2" t="s">
        <v>28</v>
      </c>
      <c r="U8" s="2" t="s">
        <v>21</v>
      </c>
      <c r="V8" s="3">
        <v>134.36909686103101</v>
      </c>
      <c r="W8" s="3">
        <f>[1]!Data[[#This Row],[Manufacturing costs]]+[1]!Data[[#This Row],[Shipping costs]]+[1]!Data[[#This Row],[Costs]]</f>
        <v>139.33492873357008</v>
      </c>
      <c r="X8" s="3">
        <f>[1]!Data[[#This Row],[Revenue generated]]- [1]!Data[[#This Row],[Total Cost]]</f>
        <v>7684.1416307981599</v>
      </c>
      <c r="Y8" s="5">
        <f>[1]!Data[[#This Row],[Profit]]/[1]!Data[[#This Row],[Revenue generated]]</f>
        <v>0.982190151951844</v>
      </c>
      <c r="Z8" s="6" t="str">
        <f>IF([1]!Data[[#This Row],[Stock levels]]&lt;20,"Low Stock","Healthy")</f>
        <v>Low Stock</v>
      </c>
      <c r="AA8" s="6" t="str">
        <f>IF([1]!Data[[#This Row],[Defect rates]]&gt;3,"High Risk",
IF([1]!Data[[#This Row],[Defect rates]]&gt;1,"Medium Risk","Low Risk"))</f>
        <v>Medium Risk</v>
      </c>
      <c r="AB8" s="7">
        <f>IF([1]!Data[[#This Row],[Inspection results]]="Pass",1,
IF([1]!Data[[#This Row],[Inspection results]]="Pending",0.5,0))</f>
        <v>0.5</v>
      </c>
    </row>
    <row r="9" spans="1:28" x14ac:dyDescent="0.3">
      <c r="A9" s="8" t="s">
        <v>29</v>
      </c>
      <c r="B9" s="9" t="s">
        <v>30</v>
      </c>
      <c r="C9" s="10">
        <v>42.958384382459997</v>
      </c>
      <c r="D9" s="9">
        <v>59</v>
      </c>
      <c r="E9" s="9">
        <v>426</v>
      </c>
      <c r="F9" s="10">
        <v>8496.1038130898305</v>
      </c>
      <c r="G9" s="9">
        <v>93</v>
      </c>
      <c r="H9" s="9">
        <v>17</v>
      </c>
      <c r="I9" s="9">
        <v>11</v>
      </c>
      <c r="J9" s="9">
        <v>1</v>
      </c>
      <c r="K9" s="9" t="s">
        <v>2</v>
      </c>
      <c r="L9" s="10">
        <v>2.3483387844177801</v>
      </c>
      <c r="M9" s="9" t="s">
        <v>25</v>
      </c>
      <c r="N9" s="9" t="s">
        <v>26</v>
      </c>
      <c r="O9" s="9">
        <v>564</v>
      </c>
      <c r="P9" s="9">
        <v>1</v>
      </c>
      <c r="Q9" s="10">
        <v>99.466108603599096</v>
      </c>
      <c r="R9" s="9" t="s">
        <v>19</v>
      </c>
      <c r="S9" s="11">
        <v>0.39817718685065001</v>
      </c>
      <c r="T9" s="9" t="s">
        <v>6</v>
      </c>
      <c r="U9" s="9" t="s">
        <v>14</v>
      </c>
      <c r="V9" s="10">
        <v>802.05631181755803</v>
      </c>
      <c r="W9" s="10">
        <f>[1]!Data[[#This Row],[Manufacturing costs]]+[1]!Data[[#This Row],[Shipping costs]]+[1]!Data[[#This Row],[Costs]]</f>
        <v>903.87075920557493</v>
      </c>
      <c r="X9" s="10">
        <f>[1]!Data[[#This Row],[Revenue generated]]- [1]!Data[[#This Row],[Total Cost]]</f>
        <v>7592.2330538842552</v>
      </c>
      <c r="Y9" s="12">
        <f>[1]!Data[[#This Row],[Profit]]/[1]!Data[[#This Row],[Revenue generated]]</f>
        <v>0.89361349871773055</v>
      </c>
      <c r="Z9" s="13" t="str">
        <f>IF([1]!Data[[#This Row],[Stock levels]]&lt;20,"Low Stock","Healthy")</f>
        <v>Healthy</v>
      </c>
      <c r="AA9" s="13" t="str">
        <f>IF([1]!Data[[#This Row],[Defect rates]]&gt;3,"High Risk",
IF([1]!Data[[#This Row],[Defect rates]]&gt;1,"Medium Risk","Low Risk"))</f>
        <v>Low Risk</v>
      </c>
      <c r="AB9" s="14">
        <f>IF([1]!Data[[#This Row],[Inspection results]]="Pass",1,
IF([1]!Data[[#This Row],[Inspection results]]="Pending",0.5,0))</f>
        <v>0</v>
      </c>
    </row>
    <row r="10" spans="1:28" x14ac:dyDescent="0.3">
      <c r="A10" s="1" t="s">
        <v>29</v>
      </c>
      <c r="B10" s="2" t="s">
        <v>31</v>
      </c>
      <c r="C10" s="3">
        <v>68.717596748527299</v>
      </c>
      <c r="D10" s="2">
        <v>78</v>
      </c>
      <c r="E10" s="2">
        <v>150</v>
      </c>
      <c r="F10" s="3">
        <v>7517.3632106311197</v>
      </c>
      <c r="G10" s="2">
        <v>5</v>
      </c>
      <c r="H10" s="2">
        <v>10</v>
      </c>
      <c r="I10" s="2">
        <v>15</v>
      </c>
      <c r="J10" s="2">
        <v>7</v>
      </c>
      <c r="K10" s="2" t="s">
        <v>16</v>
      </c>
      <c r="L10" s="3">
        <v>3.4047338570830199</v>
      </c>
      <c r="M10" s="2" t="s">
        <v>25</v>
      </c>
      <c r="N10" s="2" t="s">
        <v>4</v>
      </c>
      <c r="O10" s="2">
        <v>769</v>
      </c>
      <c r="P10" s="2">
        <v>8</v>
      </c>
      <c r="Q10" s="3">
        <v>11.423027139565599</v>
      </c>
      <c r="R10" s="2" t="s">
        <v>5</v>
      </c>
      <c r="S10" s="4">
        <v>2.7098626911099601</v>
      </c>
      <c r="T10" s="2" t="s">
        <v>28</v>
      </c>
      <c r="U10" s="2" t="s">
        <v>7</v>
      </c>
      <c r="V10" s="3">
        <v>505.55713422546398</v>
      </c>
      <c r="W10" s="3">
        <f>[1]!Data[[#This Row],[Manufacturing costs]]+[1]!Data[[#This Row],[Shipping costs]]+[1]!Data[[#This Row],[Costs]]</f>
        <v>520.38489522211262</v>
      </c>
      <c r="X10" s="3">
        <f>[1]!Data[[#This Row],[Revenue generated]]- [1]!Data[[#This Row],[Total Cost]]</f>
        <v>6996.9783154090073</v>
      </c>
      <c r="Y10" s="5">
        <f>[1]!Data[[#This Row],[Profit]]/[1]!Data[[#This Row],[Revenue generated]]</f>
        <v>0.93077560832950312</v>
      </c>
      <c r="Z10" s="6" t="str">
        <f>IF([1]!Data[[#This Row],[Stock levels]]&lt;20,"Low Stock","Healthy")</f>
        <v>Low Stock</v>
      </c>
      <c r="AA10" s="6" t="str">
        <f>IF([1]!Data[[#This Row],[Defect rates]]&gt;3,"High Risk",
IF([1]!Data[[#This Row],[Defect rates]]&gt;1,"Medium Risk","Low Risk"))</f>
        <v>Medium Risk</v>
      </c>
      <c r="AB10" s="7">
        <f>IF([1]!Data[[#This Row],[Inspection results]]="Pass",1,
IF([1]!Data[[#This Row],[Inspection results]]="Pending",0.5,0))</f>
        <v>0.5</v>
      </c>
    </row>
    <row r="11" spans="1:28" x14ac:dyDescent="0.3">
      <c r="A11" s="8" t="s">
        <v>8</v>
      </c>
      <c r="B11" s="9" t="s">
        <v>32</v>
      </c>
      <c r="C11" s="10">
        <v>64.0157329412785</v>
      </c>
      <c r="D11" s="9">
        <v>35</v>
      </c>
      <c r="E11" s="9">
        <v>980</v>
      </c>
      <c r="F11" s="10">
        <v>4971.1459875855498</v>
      </c>
      <c r="G11" s="9">
        <v>14</v>
      </c>
      <c r="H11" s="9">
        <v>27</v>
      </c>
      <c r="I11" s="9">
        <v>83</v>
      </c>
      <c r="J11" s="9">
        <v>1</v>
      </c>
      <c r="K11" s="9" t="s">
        <v>10</v>
      </c>
      <c r="L11" s="10">
        <v>7.1666452910482104</v>
      </c>
      <c r="M11" s="9" t="s">
        <v>33</v>
      </c>
      <c r="N11" s="9" t="s">
        <v>34</v>
      </c>
      <c r="O11" s="9">
        <v>963</v>
      </c>
      <c r="P11" s="9">
        <v>23</v>
      </c>
      <c r="Q11" s="10">
        <v>47.957601634951502</v>
      </c>
      <c r="R11" s="9" t="s">
        <v>5</v>
      </c>
      <c r="S11" s="11">
        <v>3.8446144787675798</v>
      </c>
      <c r="T11" s="9" t="s">
        <v>20</v>
      </c>
      <c r="U11" s="9" t="s">
        <v>7</v>
      </c>
      <c r="V11" s="10">
        <v>995.92946149864099</v>
      </c>
      <c r="W11" s="10">
        <f>[1]!Data[[#This Row],[Manufacturing costs]]+[1]!Data[[#This Row],[Shipping costs]]+[1]!Data[[#This Row],[Costs]]</f>
        <v>1051.0537084246407</v>
      </c>
      <c r="X11" s="10">
        <f>[1]!Data[[#This Row],[Revenue generated]]- [1]!Data[[#This Row],[Total Cost]]</f>
        <v>3920.0922791609091</v>
      </c>
      <c r="Y11" s="12">
        <f>[1]!Data[[#This Row],[Profit]]/[1]!Data[[#This Row],[Revenue generated]]</f>
        <v>0.78856913254017513</v>
      </c>
      <c r="Z11" s="13" t="str">
        <f>IF([1]!Data[[#This Row],[Stock levels]]&lt;20,"Low Stock","Healthy")</f>
        <v>Low Stock</v>
      </c>
      <c r="AA11" s="13" t="str">
        <f>IF([1]!Data[[#This Row],[Defect rates]]&gt;3,"High Risk",
IF([1]!Data[[#This Row],[Defect rates]]&gt;1,"Medium Risk","Low Risk"))</f>
        <v>High Risk</v>
      </c>
      <c r="AB11" s="14">
        <f>IF([1]!Data[[#This Row],[Inspection results]]="Pass",1,
IF([1]!Data[[#This Row],[Inspection results]]="Pending",0.5,0))</f>
        <v>0.5</v>
      </c>
    </row>
    <row r="12" spans="1:28" x14ac:dyDescent="0.3">
      <c r="A12" s="1" t="s">
        <v>8</v>
      </c>
      <c r="B12" s="2" t="s">
        <v>35</v>
      </c>
      <c r="C12" s="3">
        <v>15.707795681912099</v>
      </c>
      <c r="D12" s="2">
        <v>11</v>
      </c>
      <c r="E12" s="2">
        <v>996</v>
      </c>
      <c r="F12" s="3">
        <v>2330.9658020919401</v>
      </c>
      <c r="G12" s="2">
        <v>51</v>
      </c>
      <c r="H12" s="2">
        <v>13</v>
      </c>
      <c r="I12" s="2">
        <v>80</v>
      </c>
      <c r="J12" s="2">
        <v>2</v>
      </c>
      <c r="K12" s="2" t="s">
        <v>16</v>
      </c>
      <c r="L12" s="3">
        <v>8.6732112112786108</v>
      </c>
      <c r="M12" s="2" t="s">
        <v>17</v>
      </c>
      <c r="N12" s="2" t="s">
        <v>18</v>
      </c>
      <c r="O12" s="2">
        <v>830</v>
      </c>
      <c r="P12" s="2">
        <v>5</v>
      </c>
      <c r="Q12" s="3">
        <v>96.527352785310896</v>
      </c>
      <c r="R12" s="2" t="s">
        <v>36</v>
      </c>
      <c r="S12" s="4">
        <v>1.72731392835594</v>
      </c>
      <c r="T12" s="2" t="s">
        <v>6</v>
      </c>
      <c r="U12" s="2" t="s">
        <v>7</v>
      </c>
      <c r="V12" s="3">
        <v>806.10317770292295</v>
      </c>
      <c r="W12" s="3">
        <f>[1]!Data[[#This Row],[Manufacturing costs]]+[1]!Data[[#This Row],[Shipping costs]]+[1]!Data[[#This Row],[Costs]]</f>
        <v>911.30374169951244</v>
      </c>
      <c r="X12" s="3">
        <f>[1]!Data[[#This Row],[Revenue generated]]- [1]!Data[[#This Row],[Total Cost]]</f>
        <v>1419.6620603924275</v>
      </c>
      <c r="Y12" s="5">
        <f>[1]!Data[[#This Row],[Profit]]/[1]!Data[[#This Row],[Revenue generated]]</f>
        <v>0.60904456818643271</v>
      </c>
      <c r="Z12" s="6" t="str">
        <f>IF([1]!Data[[#This Row],[Stock levels]]&lt;20,"Low Stock","Healthy")</f>
        <v>Healthy</v>
      </c>
      <c r="AA12" s="6" t="str">
        <f>IF([1]!Data[[#This Row],[Defect rates]]&gt;3,"High Risk",
IF([1]!Data[[#This Row],[Defect rates]]&gt;1,"Medium Risk","Low Risk"))</f>
        <v>Medium Risk</v>
      </c>
      <c r="AB12" s="7">
        <f>IF([1]!Data[[#This Row],[Inspection results]]="Pass",1,
IF([1]!Data[[#This Row],[Inspection results]]="Pending",0.5,0))</f>
        <v>1</v>
      </c>
    </row>
    <row r="13" spans="1:28" x14ac:dyDescent="0.3">
      <c r="A13" s="8" t="s">
        <v>8</v>
      </c>
      <c r="B13" s="9" t="s">
        <v>37</v>
      </c>
      <c r="C13" s="10">
        <v>90.635459982288594</v>
      </c>
      <c r="D13" s="9">
        <v>95</v>
      </c>
      <c r="E13" s="9">
        <v>960</v>
      </c>
      <c r="F13" s="10">
        <v>6099.9441155814502</v>
      </c>
      <c r="G13" s="9">
        <v>46</v>
      </c>
      <c r="H13" s="9">
        <v>23</v>
      </c>
      <c r="I13" s="9">
        <v>60</v>
      </c>
      <c r="J13" s="9">
        <v>1</v>
      </c>
      <c r="K13" s="9" t="s">
        <v>10</v>
      </c>
      <c r="L13" s="10">
        <v>4.5239431243166601</v>
      </c>
      <c r="M13" s="9" t="s">
        <v>33</v>
      </c>
      <c r="N13" s="9" t="s">
        <v>18</v>
      </c>
      <c r="O13" s="9">
        <v>362</v>
      </c>
      <c r="P13" s="9">
        <v>11</v>
      </c>
      <c r="Q13" s="10">
        <v>27.5923630866636</v>
      </c>
      <c r="R13" s="9" t="s">
        <v>5</v>
      </c>
      <c r="S13" s="11">
        <v>2.1169821372994301E-2</v>
      </c>
      <c r="T13" s="9" t="s">
        <v>13</v>
      </c>
      <c r="U13" s="9" t="s">
        <v>21</v>
      </c>
      <c r="V13" s="10">
        <v>126.72303340940699</v>
      </c>
      <c r="W13" s="10">
        <f>[1]!Data[[#This Row],[Manufacturing costs]]+[1]!Data[[#This Row],[Shipping costs]]+[1]!Data[[#This Row],[Costs]]</f>
        <v>158.83933962038725</v>
      </c>
      <c r="X13" s="10">
        <f>[1]!Data[[#This Row],[Revenue generated]]- [1]!Data[[#This Row],[Total Cost]]</f>
        <v>5941.1047759610628</v>
      </c>
      <c r="Y13" s="12">
        <f>[1]!Data[[#This Row],[Profit]]/[1]!Data[[#This Row],[Revenue generated]]</f>
        <v>0.97396052543913403</v>
      </c>
      <c r="Z13" s="13" t="str">
        <f>IF([1]!Data[[#This Row],[Stock levels]]&lt;20,"Low Stock","Healthy")</f>
        <v>Healthy</v>
      </c>
      <c r="AA13" s="13" t="str">
        <f>IF([1]!Data[[#This Row],[Defect rates]]&gt;3,"High Risk",
IF([1]!Data[[#This Row],[Defect rates]]&gt;1,"Medium Risk","Low Risk"))</f>
        <v>Low Risk</v>
      </c>
      <c r="AB13" s="14">
        <f>IF([1]!Data[[#This Row],[Inspection results]]="Pass",1,
IF([1]!Data[[#This Row],[Inspection results]]="Pending",0.5,0))</f>
        <v>0.5</v>
      </c>
    </row>
    <row r="14" spans="1:28" x14ac:dyDescent="0.3">
      <c r="A14" s="1" t="s">
        <v>0</v>
      </c>
      <c r="B14" s="2" t="s">
        <v>38</v>
      </c>
      <c r="C14" s="3">
        <v>71.213389075359999</v>
      </c>
      <c r="D14" s="2">
        <v>41</v>
      </c>
      <c r="E14" s="2">
        <v>336</v>
      </c>
      <c r="F14" s="3">
        <v>2873.74144602144</v>
      </c>
      <c r="G14" s="2">
        <v>100</v>
      </c>
      <c r="H14" s="2">
        <v>30</v>
      </c>
      <c r="I14" s="2">
        <v>85</v>
      </c>
      <c r="J14" s="2">
        <v>4</v>
      </c>
      <c r="K14" s="2" t="s">
        <v>10</v>
      </c>
      <c r="L14" s="3">
        <v>1.32527401018452</v>
      </c>
      <c r="M14" s="2" t="s">
        <v>25</v>
      </c>
      <c r="N14" s="2" t="s">
        <v>18</v>
      </c>
      <c r="O14" s="2">
        <v>563</v>
      </c>
      <c r="P14" s="2">
        <v>3</v>
      </c>
      <c r="Q14" s="3">
        <v>32.321286213424003</v>
      </c>
      <c r="R14" s="2" t="s">
        <v>19</v>
      </c>
      <c r="S14" s="4">
        <v>2.1612537475559099</v>
      </c>
      <c r="T14" s="2" t="s">
        <v>6</v>
      </c>
      <c r="U14" s="2" t="s">
        <v>7</v>
      </c>
      <c r="V14" s="3">
        <v>402.96878907376998</v>
      </c>
      <c r="W14" s="3">
        <f>[1]!Data[[#This Row],[Manufacturing costs]]+[1]!Data[[#This Row],[Shipping costs]]+[1]!Data[[#This Row],[Costs]]</f>
        <v>436.61534929737849</v>
      </c>
      <c r="X14" s="3">
        <f>[1]!Data[[#This Row],[Revenue generated]]- [1]!Data[[#This Row],[Total Cost]]</f>
        <v>2437.1260967240614</v>
      </c>
      <c r="Y14" s="5">
        <f>[1]!Data[[#This Row],[Profit]]/[1]!Data[[#This Row],[Revenue generated]]</f>
        <v>0.84806728180022872</v>
      </c>
      <c r="Z14" s="6" t="str">
        <f>IF([1]!Data[[#This Row],[Stock levels]]&lt;20,"Low Stock","Healthy")</f>
        <v>Healthy</v>
      </c>
      <c r="AA14" s="6" t="str">
        <f>IF([1]!Data[[#This Row],[Defect rates]]&gt;3,"High Risk",
IF([1]!Data[[#This Row],[Defect rates]]&gt;1,"Medium Risk","Low Risk"))</f>
        <v>Medium Risk</v>
      </c>
      <c r="AB14" s="7">
        <f>IF([1]!Data[[#This Row],[Inspection results]]="Pass",1,
IF([1]!Data[[#This Row],[Inspection results]]="Pending",0.5,0))</f>
        <v>0</v>
      </c>
    </row>
    <row r="15" spans="1:28" x14ac:dyDescent="0.3">
      <c r="A15" s="8" t="s">
        <v>8</v>
      </c>
      <c r="B15" s="9" t="s">
        <v>39</v>
      </c>
      <c r="C15" s="10">
        <v>16.160393317379899</v>
      </c>
      <c r="D15" s="9">
        <v>5</v>
      </c>
      <c r="E15" s="9">
        <v>249</v>
      </c>
      <c r="F15" s="10">
        <v>4052.7384162378598</v>
      </c>
      <c r="G15" s="9">
        <v>80</v>
      </c>
      <c r="H15" s="9">
        <v>8</v>
      </c>
      <c r="I15" s="9">
        <v>48</v>
      </c>
      <c r="J15" s="9">
        <v>9</v>
      </c>
      <c r="K15" s="9" t="s">
        <v>10</v>
      </c>
      <c r="L15" s="10">
        <v>9.5372830611083295</v>
      </c>
      <c r="M15" s="9" t="s">
        <v>17</v>
      </c>
      <c r="N15" s="9" t="s">
        <v>26</v>
      </c>
      <c r="O15" s="9">
        <v>173</v>
      </c>
      <c r="P15" s="9">
        <v>10</v>
      </c>
      <c r="Q15" s="10">
        <v>97.829050110173199</v>
      </c>
      <c r="R15" s="9" t="s">
        <v>5</v>
      </c>
      <c r="S15" s="11">
        <v>1.63107423007153</v>
      </c>
      <c r="T15" s="9" t="s">
        <v>6</v>
      </c>
      <c r="U15" s="9" t="s">
        <v>7</v>
      </c>
      <c r="V15" s="10">
        <v>547.24100516096803</v>
      </c>
      <c r="W15" s="10">
        <f>[1]!Data[[#This Row],[Manufacturing costs]]+[1]!Data[[#This Row],[Shipping costs]]+[1]!Data[[#This Row],[Costs]]</f>
        <v>654.60733833224958</v>
      </c>
      <c r="X15" s="10">
        <f>[1]!Data[[#This Row],[Revenue generated]]- [1]!Data[[#This Row],[Total Cost]]</f>
        <v>3398.1310779056103</v>
      </c>
      <c r="Y15" s="12">
        <f>[1]!Data[[#This Row],[Profit]]/[1]!Data[[#This Row],[Revenue generated]]</f>
        <v>0.83847777203940077</v>
      </c>
      <c r="Z15" s="13" t="str">
        <f>IF([1]!Data[[#This Row],[Stock levels]]&lt;20,"Low Stock","Healthy")</f>
        <v>Healthy</v>
      </c>
      <c r="AA15" s="13" t="str">
        <f>IF([1]!Data[[#This Row],[Defect rates]]&gt;3,"High Risk",
IF([1]!Data[[#This Row],[Defect rates]]&gt;1,"Medium Risk","Low Risk"))</f>
        <v>Medium Risk</v>
      </c>
      <c r="AB15" s="14">
        <f>IF([1]!Data[[#This Row],[Inspection results]]="Pass",1,
IF([1]!Data[[#This Row],[Inspection results]]="Pending",0.5,0))</f>
        <v>0.5</v>
      </c>
    </row>
    <row r="16" spans="1:28" x14ac:dyDescent="0.3">
      <c r="A16" s="1" t="s">
        <v>8</v>
      </c>
      <c r="B16" s="2" t="s">
        <v>40</v>
      </c>
      <c r="C16" s="3">
        <v>99.171328638624104</v>
      </c>
      <c r="D16" s="2">
        <v>26</v>
      </c>
      <c r="E16" s="2">
        <v>562</v>
      </c>
      <c r="F16" s="3">
        <v>8653.5709264697998</v>
      </c>
      <c r="G16" s="2">
        <v>54</v>
      </c>
      <c r="H16" s="2">
        <v>29</v>
      </c>
      <c r="I16" s="2">
        <v>78</v>
      </c>
      <c r="J16" s="2">
        <v>5</v>
      </c>
      <c r="K16" s="2" t="s">
        <v>2</v>
      </c>
      <c r="L16" s="3">
        <v>2.0397701894493299</v>
      </c>
      <c r="M16" s="2" t="s">
        <v>12</v>
      </c>
      <c r="N16" s="2" t="s">
        <v>18</v>
      </c>
      <c r="O16" s="2">
        <v>558</v>
      </c>
      <c r="P16" s="2">
        <v>14</v>
      </c>
      <c r="Q16" s="3">
        <v>5.7914366298629796</v>
      </c>
      <c r="R16" s="2" t="s">
        <v>5</v>
      </c>
      <c r="S16" s="4">
        <v>0.100682851565093</v>
      </c>
      <c r="T16" s="2" t="s">
        <v>13</v>
      </c>
      <c r="U16" s="2" t="s">
        <v>7</v>
      </c>
      <c r="V16" s="3">
        <v>929.23528996088896</v>
      </c>
      <c r="W16" s="3">
        <f>[1]!Data[[#This Row],[Manufacturing costs]]+[1]!Data[[#This Row],[Shipping costs]]+[1]!Data[[#This Row],[Costs]]</f>
        <v>937.06649678020131</v>
      </c>
      <c r="X16" s="3">
        <f>[1]!Data[[#This Row],[Revenue generated]]- [1]!Data[[#This Row],[Total Cost]]</f>
        <v>7716.5044296895985</v>
      </c>
      <c r="Y16" s="5">
        <f>[1]!Data[[#This Row],[Profit]]/[1]!Data[[#This Row],[Revenue generated]]</f>
        <v>0.89171331641670903</v>
      </c>
      <c r="Z16" s="6" t="str">
        <f>IF([1]!Data[[#This Row],[Stock levels]]&lt;20,"Low Stock","Healthy")</f>
        <v>Healthy</v>
      </c>
      <c r="AA16" s="6" t="str">
        <f>IF([1]!Data[[#This Row],[Defect rates]]&gt;3,"High Risk",
IF([1]!Data[[#This Row],[Defect rates]]&gt;1,"Medium Risk","Low Risk"))</f>
        <v>Low Risk</v>
      </c>
      <c r="AB16" s="7">
        <f>IF([1]!Data[[#This Row],[Inspection results]]="Pass",1,
IF([1]!Data[[#This Row],[Inspection results]]="Pending",0.5,0))</f>
        <v>0.5</v>
      </c>
    </row>
    <row r="17" spans="1:28" x14ac:dyDescent="0.3">
      <c r="A17" s="8" t="s">
        <v>8</v>
      </c>
      <c r="B17" s="9" t="s">
        <v>41</v>
      </c>
      <c r="C17" s="10">
        <v>36.989244928626903</v>
      </c>
      <c r="D17" s="9">
        <v>94</v>
      </c>
      <c r="E17" s="9">
        <v>469</v>
      </c>
      <c r="F17" s="10">
        <v>5442.0867853976697</v>
      </c>
      <c r="G17" s="9">
        <v>9</v>
      </c>
      <c r="H17" s="9">
        <v>8</v>
      </c>
      <c r="I17" s="9">
        <v>69</v>
      </c>
      <c r="J17" s="9">
        <v>7</v>
      </c>
      <c r="K17" s="9" t="s">
        <v>2</v>
      </c>
      <c r="L17" s="10">
        <v>2.4220397232752</v>
      </c>
      <c r="M17" s="9" t="s">
        <v>12</v>
      </c>
      <c r="N17" s="9" t="s">
        <v>26</v>
      </c>
      <c r="O17" s="9">
        <v>580</v>
      </c>
      <c r="P17" s="9">
        <v>7</v>
      </c>
      <c r="Q17" s="10">
        <v>97.121281751474299</v>
      </c>
      <c r="R17" s="9" t="s">
        <v>36</v>
      </c>
      <c r="S17" s="11">
        <v>2.2644057611985402</v>
      </c>
      <c r="T17" s="9" t="s">
        <v>28</v>
      </c>
      <c r="U17" s="9" t="s">
        <v>7</v>
      </c>
      <c r="V17" s="10">
        <v>127.861800001625</v>
      </c>
      <c r="W17" s="10">
        <f>[1]!Data[[#This Row],[Manufacturing costs]]+[1]!Data[[#This Row],[Shipping costs]]+[1]!Data[[#This Row],[Costs]]</f>
        <v>227.40512147637452</v>
      </c>
      <c r="X17" s="10">
        <f>[1]!Data[[#This Row],[Revenue generated]]- [1]!Data[[#This Row],[Total Cost]]</f>
        <v>5214.6816639212948</v>
      </c>
      <c r="Y17" s="12">
        <f>[1]!Data[[#This Row],[Profit]]/[1]!Data[[#This Row],[Revenue generated]]</f>
        <v>0.95821361723106779</v>
      </c>
      <c r="Z17" s="13" t="str">
        <f>IF([1]!Data[[#This Row],[Stock levels]]&lt;20,"Low Stock","Healthy")</f>
        <v>Low Stock</v>
      </c>
      <c r="AA17" s="13" t="str">
        <f>IF([1]!Data[[#This Row],[Defect rates]]&gt;3,"High Risk",
IF([1]!Data[[#This Row],[Defect rates]]&gt;1,"Medium Risk","Low Risk"))</f>
        <v>Medium Risk</v>
      </c>
      <c r="AB17" s="14">
        <f>IF([1]!Data[[#This Row],[Inspection results]]="Pass",1,
IF([1]!Data[[#This Row],[Inspection results]]="Pending",0.5,0))</f>
        <v>1</v>
      </c>
    </row>
    <row r="18" spans="1:28" x14ac:dyDescent="0.3">
      <c r="A18" s="1" t="s">
        <v>8</v>
      </c>
      <c r="B18" s="2" t="s">
        <v>42</v>
      </c>
      <c r="C18" s="3">
        <v>7.5471721097912701</v>
      </c>
      <c r="D18" s="2">
        <v>74</v>
      </c>
      <c r="E18" s="2">
        <v>280</v>
      </c>
      <c r="F18" s="3">
        <v>6453.7979681762799</v>
      </c>
      <c r="G18" s="2">
        <v>2</v>
      </c>
      <c r="H18" s="2">
        <v>5</v>
      </c>
      <c r="I18" s="2">
        <v>78</v>
      </c>
      <c r="J18" s="2">
        <v>1</v>
      </c>
      <c r="K18" s="2" t="s">
        <v>2</v>
      </c>
      <c r="L18" s="3">
        <v>4.1913245857054999</v>
      </c>
      <c r="M18" s="2" t="s">
        <v>12</v>
      </c>
      <c r="N18" s="2" t="s">
        <v>26</v>
      </c>
      <c r="O18" s="2">
        <v>399</v>
      </c>
      <c r="P18" s="2">
        <v>21</v>
      </c>
      <c r="Q18" s="3">
        <v>77.106342497849994</v>
      </c>
      <c r="R18" s="2" t="s">
        <v>36</v>
      </c>
      <c r="S18" s="4">
        <v>1.01256308925804</v>
      </c>
      <c r="T18" s="2" t="s">
        <v>13</v>
      </c>
      <c r="U18" s="2" t="s">
        <v>21</v>
      </c>
      <c r="V18" s="3">
        <v>865.52577977123997</v>
      </c>
      <c r="W18" s="3">
        <f>[1]!Data[[#This Row],[Manufacturing costs]]+[1]!Data[[#This Row],[Shipping costs]]+[1]!Data[[#This Row],[Costs]]</f>
        <v>946.82344685479552</v>
      </c>
      <c r="X18" s="3">
        <f>[1]!Data[[#This Row],[Revenue generated]]- [1]!Data[[#This Row],[Total Cost]]</f>
        <v>5506.9745213214846</v>
      </c>
      <c r="Y18" s="5">
        <f>[1]!Data[[#This Row],[Profit]]/[1]!Data[[#This Row],[Revenue generated]]</f>
        <v>0.85329205352823445</v>
      </c>
      <c r="Z18" s="6" t="str">
        <f>IF([1]!Data[[#This Row],[Stock levels]]&lt;20,"Low Stock","Healthy")</f>
        <v>Low Stock</v>
      </c>
      <c r="AA18" s="6" t="str">
        <f>IF([1]!Data[[#This Row],[Defect rates]]&gt;3,"High Risk",
IF([1]!Data[[#This Row],[Defect rates]]&gt;1,"Medium Risk","Low Risk"))</f>
        <v>Medium Risk</v>
      </c>
      <c r="AB18" s="7">
        <f>IF([1]!Data[[#This Row],[Inspection results]]="Pass",1,
IF([1]!Data[[#This Row],[Inspection results]]="Pending",0.5,0))</f>
        <v>1</v>
      </c>
    </row>
    <row r="19" spans="1:28" x14ac:dyDescent="0.3">
      <c r="A19" s="8" t="s">
        <v>29</v>
      </c>
      <c r="B19" s="9" t="s">
        <v>43</v>
      </c>
      <c r="C19" s="10">
        <v>81.462534369237005</v>
      </c>
      <c r="D19" s="9">
        <v>82</v>
      </c>
      <c r="E19" s="9">
        <v>126</v>
      </c>
      <c r="F19" s="10">
        <v>2629.39643484526</v>
      </c>
      <c r="G19" s="9">
        <v>45</v>
      </c>
      <c r="H19" s="9">
        <v>17</v>
      </c>
      <c r="I19" s="9">
        <v>85</v>
      </c>
      <c r="J19" s="9">
        <v>9</v>
      </c>
      <c r="K19" s="9" t="s">
        <v>16</v>
      </c>
      <c r="L19" s="10">
        <v>3.5854189582323399</v>
      </c>
      <c r="M19" s="9" t="s">
        <v>12</v>
      </c>
      <c r="N19" s="9" t="s">
        <v>34</v>
      </c>
      <c r="O19" s="9">
        <v>453</v>
      </c>
      <c r="P19" s="9">
        <v>16</v>
      </c>
      <c r="Q19" s="10">
        <v>47.679680368355299</v>
      </c>
      <c r="R19" s="9" t="s">
        <v>19</v>
      </c>
      <c r="S19" s="11">
        <v>0.102020754918176</v>
      </c>
      <c r="T19" s="9" t="s">
        <v>13</v>
      </c>
      <c r="U19" s="9" t="s">
        <v>14</v>
      </c>
      <c r="V19" s="10">
        <v>670.93439079241</v>
      </c>
      <c r="W19" s="10">
        <f>[1]!Data[[#This Row],[Manufacturing costs]]+[1]!Data[[#This Row],[Shipping costs]]+[1]!Data[[#This Row],[Costs]]</f>
        <v>722.19949011899769</v>
      </c>
      <c r="X19" s="10">
        <f>[1]!Data[[#This Row],[Revenue generated]]- [1]!Data[[#This Row],[Total Cost]]</f>
        <v>1907.1969447262622</v>
      </c>
      <c r="Y19" s="12">
        <f>[1]!Data[[#This Row],[Profit]]/[1]!Data[[#This Row],[Revenue generated]]</f>
        <v>0.72533640019120993</v>
      </c>
      <c r="Z19" s="13" t="str">
        <f>IF([1]!Data[[#This Row],[Stock levels]]&lt;20,"Low Stock","Healthy")</f>
        <v>Healthy</v>
      </c>
      <c r="AA19" s="13" t="str">
        <f>IF([1]!Data[[#This Row],[Defect rates]]&gt;3,"High Risk",
IF([1]!Data[[#This Row],[Defect rates]]&gt;1,"Medium Risk","Low Risk"))</f>
        <v>Low Risk</v>
      </c>
      <c r="AB19" s="14">
        <f>IF([1]!Data[[#This Row],[Inspection results]]="Pass",1,
IF([1]!Data[[#This Row],[Inspection results]]="Pending",0.5,0))</f>
        <v>0</v>
      </c>
    </row>
    <row r="20" spans="1:28" x14ac:dyDescent="0.3">
      <c r="A20" s="1" t="s">
        <v>0</v>
      </c>
      <c r="B20" s="2" t="s">
        <v>44</v>
      </c>
      <c r="C20" s="3">
        <v>36.4436277704609</v>
      </c>
      <c r="D20" s="2">
        <v>23</v>
      </c>
      <c r="E20" s="2">
        <v>620</v>
      </c>
      <c r="F20" s="3">
        <v>9364.6735050761708</v>
      </c>
      <c r="G20" s="2">
        <v>10</v>
      </c>
      <c r="H20" s="2">
        <v>10</v>
      </c>
      <c r="I20" s="2">
        <v>46</v>
      </c>
      <c r="J20" s="2">
        <v>8</v>
      </c>
      <c r="K20" s="2" t="s">
        <v>16</v>
      </c>
      <c r="L20" s="3">
        <v>4.3392247141107001</v>
      </c>
      <c r="M20" s="2" t="s">
        <v>33</v>
      </c>
      <c r="N20" s="2" t="s">
        <v>18</v>
      </c>
      <c r="O20" s="2">
        <v>374</v>
      </c>
      <c r="P20" s="2">
        <v>17</v>
      </c>
      <c r="Q20" s="3">
        <v>27.107980854843898</v>
      </c>
      <c r="R20" s="2" t="s">
        <v>5</v>
      </c>
      <c r="S20" s="4">
        <v>2.2319391107292601</v>
      </c>
      <c r="T20" s="2" t="s">
        <v>28</v>
      </c>
      <c r="U20" s="2" t="s">
        <v>21</v>
      </c>
      <c r="V20" s="3">
        <v>593.48025872065102</v>
      </c>
      <c r="W20" s="3">
        <f>[1]!Data[[#This Row],[Manufacturing costs]]+[1]!Data[[#This Row],[Shipping costs]]+[1]!Data[[#This Row],[Costs]]</f>
        <v>624.92746428960561</v>
      </c>
      <c r="X20" s="3">
        <f>[1]!Data[[#This Row],[Revenue generated]]- [1]!Data[[#This Row],[Total Cost]]</f>
        <v>8739.7460407865656</v>
      </c>
      <c r="Y20" s="5">
        <f>[1]!Data[[#This Row],[Profit]]/[1]!Data[[#This Row],[Revenue generated]]</f>
        <v>0.93326756517983678</v>
      </c>
      <c r="Z20" s="6" t="str">
        <f>IF([1]!Data[[#This Row],[Stock levels]]&lt;20,"Low Stock","Healthy")</f>
        <v>Low Stock</v>
      </c>
      <c r="AA20" s="6" t="str">
        <f>IF([1]!Data[[#This Row],[Defect rates]]&gt;3,"High Risk",
IF([1]!Data[[#This Row],[Defect rates]]&gt;1,"Medium Risk","Low Risk"))</f>
        <v>Medium Risk</v>
      </c>
      <c r="AB20" s="7">
        <f>IF([1]!Data[[#This Row],[Inspection results]]="Pass",1,
IF([1]!Data[[#This Row],[Inspection results]]="Pending",0.5,0))</f>
        <v>0.5</v>
      </c>
    </row>
    <row r="21" spans="1:28" x14ac:dyDescent="0.3">
      <c r="A21" s="8" t="s">
        <v>8</v>
      </c>
      <c r="B21" s="9" t="s">
        <v>45</v>
      </c>
      <c r="C21" s="10">
        <v>51.123870087964697</v>
      </c>
      <c r="D21" s="9">
        <v>100</v>
      </c>
      <c r="E21" s="9">
        <v>187</v>
      </c>
      <c r="F21" s="10">
        <v>2553.4955849912099</v>
      </c>
      <c r="G21" s="9">
        <v>48</v>
      </c>
      <c r="H21" s="9">
        <v>11</v>
      </c>
      <c r="I21" s="9">
        <v>94</v>
      </c>
      <c r="J21" s="9">
        <v>3</v>
      </c>
      <c r="K21" s="9" t="s">
        <v>10</v>
      </c>
      <c r="L21" s="10">
        <v>4.7426358828418698</v>
      </c>
      <c r="M21" s="9" t="s">
        <v>25</v>
      </c>
      <c r="N21" s="9" t="s">
        <v>34</v>
      </c>
      <c r="O21" s="9">
        <v>694</v>
      </c>
      <c r="P21" s="9">
        <v>16</v>
      </c>
      <c r="Q21" s="10">
        <v>82.373320587990193</v>
      </c>
      <c r="R21" s="9" t="s">
        <v>19</v>
      </c>
      <c r="S21" s="11">
        <v>3.64645086541702</v>
      </c>
      <c r="T21" s="9" t="s">
        <v>6</v>
      </c>
      <c r="U21" s="9" t="s">
        <v>14</v>
      </c>
      <c r="V21" s="10">
        <v>477.30763109090299</v>
      </c>
      <c r="W21" s="10">
        <f>[1]!Data[[#This Row],[Manufacturing costs]]+[1]!Data[[#This Row],[Shipping costs]]+[1]!Data[[#This Row],[Costs]]</f>
        <v>564.42358756173508</v>
      </c>
      <c r="X21" s="10">
        <f>[1]!Data[[#This Row],[Revenue generated]]- [1]!Data[[#This Row],[Total Cost]]</f>
        <v>1989.0719974294748</v>
      </c>
      <c r="Y21" s="12">
        <f>[1]!Data[[#This Row],[Profit]]/[1]!Data[[#This Row],[Revenue generated]]</f>
        <v>0.77896042159646883</v>
      </c>
      <c r="Z21" s="13" t="str">
        <f>IF([1]!Data[[#This Row],[Stock levels]]&lt;20,"Low Stock","Healthy")</f>
        <v>Healthy</v>
      </c>
      <c r="AA21" s="13" t="str">
        <f>IF([1]!Data[[#This Row],[Defect rates]]&gt;3,"High Risk",
IF([1]!Data[[#This Row],[Defect rates]]&gt;1,"Medium Risk","Low Risk"))</f>
        <v>High Risk</v>
      </c>
      <c r="AB21" s="14">
        <f>IF([1]!Data[[#This Row],[Inspection results]]="Pass",1,
IF([1]!Data[[#This Row],[Inspection results]]="Pending",0.5,0))</f>
        <v>0</v>
      </c>
    </row>
    <row r="22" spans="1:28" x14ac:dyDescent="0.3">
      <c r="A22" s="1" t="s">
        <v>8</v>
      </c>
      <c r="B22" s="2" t="s">
        <v>46</v>
      </c>
      <c r="C22" s="3">
        <v>96.341072439963298</v>
      </c>
      <c r="D22" s="2">
        <v>22</v>
      </c>
      <c r="E22" s="2">
        <v>320</v>
      </c>
      <c r="F22" s="3">
        <v>8128.0276968511898</v>
      </c>
      <c r="G22" s="2">
        <v>27</v>
      </c>
      <c r="H22" s="2">
        <v>12</v>
      </c>
      <c r="I22" s="2">
        <v>68</v>
      </c>
      <c r="J22" s="2">
        <v>6</v>
      </c>
      <c r="K22" s="2" t="s">
        <v>10</v>
      </c>
      <c r="L22" s="3">
        <v>8.8783346509268402</v>
      </c>
      <c r="M22" s="2" t="s">
        <v>12</v>
      </c>
      <c r="N22" s="2" t="s">
        <v>34</v>
      </c>
      <c r="O22" s="2">
        <v>309</v>
      </c>
      <c r="P22" s="2">
        <v>6</v>
      </c>
      <c r="Q22" s="3">
        <v>65.686259608488598</v>
      </c>
      <c r="R22" s="2" t="s">
        <v>36</v>
      </c>
      <c r="S22" s="4">
        <v>4.2314165735345304</v>
      </c>
      <c r="T22" s="2" t="s">
        <v>13</v>
      </c>
      <c r="U22" s="2" t="s">
        <v>7</v>
      </c>
      <c r="V22" s="3">
        <v>493.871215316205</v>
      </c>
      <c r="W22" s="3">
        <f>[1]!Data[[#This Row],[Manufacturing costs]]+[1]!Data[[#This Row],[Shipping costs]]+[1]!Data[[#This Row],[Costs]]</f>
        <v>568.4358095756204</v>
      </c>
      <c r="X22" s="3">
        <f>[1]!Data[[#This Row],[Revenue generated]]- [1]!Data[[#This Row],[Total Cost]]</f>
        <v>7559.5918872755692</v>
      </c>
      <c r="Y22" s="5">
        <f>[1]!Data[[#This Row],[Profit]]/[1]!Data[[#This Row],[Revenue generated]]</f>
        <v>0.93006473024251213</v>
      </c>
      <c r="Z22" s="6" t="str">
        <f>IF([1]!Data[[#This Row],[Stock levels]]&lt;20,"Low Stock","Healthy")</f>
        <v>Healthy</v>
      </c>
      <c r="AA22" s="6" t="str">
        <f>IF([1]!Data[[#This Row],[Defect rates]]&gt;3,"High Risk",
IF([1]!Data[[#This Row],[Defect rates]]&gt;1,"Medium Risk","Low Risk"))</f>
        <v>High Risk</v>
      </c>
      <c r="AB22" s="7">
        <f>IF([1]!Data[[#This Row],[Inspection results]]="Pass",1,
IF([1]!Data[[#This Row],[Inspection results]]="Pending",0.5,0))</f>
        <v>1</v>
      </c>
    </row>
    <row r="23" spans="1:28" x14ac:dyDescent="0.3">
      <c r="A23" s="8" t="s">
        <v>29</v>
      </c>
      <c r="B23" s="9" t="s">
        <v>47</v>
      </c>
      <c r="C23" s="10">
        <v>84.893868984950799</v>
      </c>
      <c r="D23" s="9">
        <v>60</v>
      </c>
      <c r="E23" s="9">
        <v>601</v>
      </c>
      <c r="F23" s="10">
        <v>7087.0526963574302</v>
      </c>
      <c r="G23" s="9">
        <v>69</v>
      </c>
      <c r="H23" s="9">
        <v>25</v>
      </c>
      <c r="I23" s="9">
        <v>7</v>
      </c>
      <c r="J23" s="9">
        <v>6</v>
      </c>
      <c r="K23" s="9" t="s">
        <v>2</v>
      </c>
      <c r="L23" s="10">
        <v>6.0378837692182898</v>
      </c>
      <c r="M23" s="9" t="s">
        <v>17</v>
      </c>
      <c r="N23" s="9" t="s">
        <v>34</v>
      </c>
      <c r="O23" s="9">
        <v>791</v>
      </c>
      <c r="P23" s="9">
        <v>4</v>
      </c>
      <c r="Q23" s="10">
        <v>61.735728954160898</v>
      </c>
      <c r="R23" s="9" t="s">
        <v>5</v>
      </c>
      <c r="S23" s="11">
        <v>1.8607567631014899E-2</v>
      </c>
      <c r="T23" s="9" t="s">
        <v>13</v>
      </c>
      <c r="U23" s="9" t="s">
        <v>14</v>
      </c>
      <c r="V23" s="10">
        <v>523.36091472015801</v>
      </c>
      <c r="W23" s="10">
        <f>[1]!Data[[#This Row],[Manufacturing costs]]+[1]!Data[[#This Row],[Shipping costs]]+[1]!Data[[#This Row],[Costs]]</f>
        <v>591.13452744353719</v>
      </c>
      <c r="X23" s="10">
        <f>[1]!Data[[#This Row],[Revenue generated]]- [1]!Data[[#This Row],[Total Cost]]</f>
        <v>6495.9181689138932</v>
      </c>
      <c r="Y23" s="12">
        <f>[1]!Data[[#This Row],[Profit]]/[1]!Data[[#This Row],[Revenue generated]]</f>
        <v>0.91658951149786627</v>
      </c>
      <c r="Z23" s="13" t="str">
        <f>IF([1]!Data[[#This Row],[Stock levels]]&lt;20,"Low Stock","Healthy")</f>
        <v>Healthy</v>
      </c>
      <c r="AA23" s="13" t="str">
        <f>IF([1]!Data[[#This Row],[Defect rates]]&gt;3,"High Risk",
IF([1]!Data[[#This Row],[Defect rates]]&gt;1,"Medium Risk","Low Risk"))</f>
        <v>Low Risk</v>
      </c>
      <c r="AB23" s="14">
        <f>IF([1]!Data[[#This Row],[Inspection results]]="Pass",1,
IF([1]!Data[[#This Row],[Inspection results]]="Pending",0.5,0))</f>
        <v>0.5</v>
      </c>
    </row>
    <row r="24" spans="1:28" x14ac:dyDescent="0.3">
      <c r="A24" s="1" t="s">
        <v>0</v>
      </c>
      <c r="B24" s="2" t="s">
        <v>48</v>
      </c>
      <c r="C24" s="3">
        <v>27.679780886501899</v>
      </c>
      <c r="D24" s="2">
        <v>55</v>
      </c>
      <c r="E24" s="2">
        <v>884</v>
      </c>
      <c r="F24" s="3">
        <v>2390.8078665561702</v>
      </c>
      <c r="G24" s="2">
        <v>71</v>
      </c>
      <c r="H24" s="2">
        <v>1</v>
      </c>
      <c r="I24" s="2">
        <v>63</v>
      </c>
      <c r="J24" s="2">
        <v>10</v>
      </c>
      <c r="K24" s="2" t="s">
        <v>10</v>
      </c>
      <c r="L24" s="3">
        <v>9.5676489209230393</v>
      </c>
      <c r="M24" s="2" t="s">
        <v>25</v>
      </c>
      <c r="N24" s="2" t="s">
        <v>18</v>
      </c>
      <c r="O24" s="2">
        <v>780</v>
      </c>
      <c r="P24" s="2">
        <v>28</v>
      </c>
      <c r="Q24" s="3">
        <v>50.120839612977299</v>
      </c>
      <c r="R24" s="2" t="s">
        <v>19</v>
      </c>
      <c r="S24" s="4">
        <v>2.5912754732111098</v>
      </c>
      <c r="T24" s="2" t="s">
        <v>20</v>
      </c>
      <c r="U24" s="2" t="s">
        <v>14</v>
      </c>
      <c r="V24" s="3">
        <v>205.57199582694699</v>
      </c>
      <c r="W24" s="3">
        <f>[1]!Data[[#This Row],[Manufacturing costs]]+[1]!Data[[#This Row],[Shipping costs]]+[1]!Data[[#This Row],[Costs]]</f>
        <v>265.26048436084733</v>
      </c>
      <c r="X24" s="3">
        <f>[1]!Data[[#This Row],[Revenue generated]]- [1]!Data[[#This Row],[Total Cost]]</f>
        <v>2125.5473821953228</v>
      </c>
      <c r="Y24" s="5">
        <f>[1]!Data[[#This Row],[Profit]]/[1]!Data[[#This Row],[Revenue generated]]</f>
        <v>0.88904985295077654</v>
      </c>
      <c r="Z24" s="6" t="str">
        <f>IF([1]!Data[[#This Row],[Stock levels]]&lt;20,"Low Stock","Healthy")</f>
        <v>Healthy</v>
      </c>
      <c r="AA24" s="6" t="str">
        <f>IF([1]!Data[[#This Row],[Defect rates]]&gt;3,"High Risk",
IF([1]!Data[[#This Row],[Defect rates]]&gt;1,"Medium Risk","Low Risk"))</f>
        <v>Medium Risk</v>
      </c>
      <c r="AB24" s="7">
        <f>IF([1]!Data[[#This Row],[Inspection results]]="Pass",1,
IF([1]!Data[[#This Row],[Inspection results]]="Pending",0.5,0))</f>
        <v>0</v>
      </c>
    </row>
    <row r="25" spans="1:28" x14ac:dyDescent="0.3">
      <c r="A25" s="8" t="s">
        <v>29</v>
      </c>
      <c r="B25" s="9" t="s">
        <v>49</v>
      </c>
      <c r="C25" s="10">
        <v>4.3243411858641601</v>
      </c>
      <c r="D25" s="9">
        <v>30</v>
      </c>
      <c r="E25" s="9">
        <v>391</v>
      </c>
      <c r="F25" s="10">
        <v>8858.3675710114803</v>
      </c>
      <c r="G25" s="9">
        <v>84</v>
      </c>
      <c r="H25" s="9">
        <v>5</v>
      </c>
      <c r="I25" s="9">
        <v>29</v>
      </c>
      <c r="J25" s="9">
        <v>7</v>
      </c>
      <c r="K25" s="9" t="s">
        <v>10</v>
      </c>
      <c r="L25" s="10">
        <v>2.92485760114555</v>
      </c>
      <c r="M25" s="9" t="s">
        <v>17</v>
      </c>
      <c r="N25" s="9" t="s">
        <v>18</v>
      </c>
      <c r="O25" s="9">
        <v>568</v>
      </c>
      <c r="P25" s="9">
        <v>29</v>
      </c>
      <c r="Q25" s="10">
        <v>98.6099572427038</v>
      </c>
      <c r="R25" s="9" t="s">
        <v>5</v>
      </c>
      <c r="S25" s="11">
        <v>1.3422915627227301</v>
      </c>
      <c r="T25" s="9" t="s">
        <v>20</v>
      </c>
      <c r="U25" s="9" t="s">
        <v>21</v>
      </c>
      <c r="V25" s="10">
        <v>196.329446112412</v>
      </c>
      <c r="W25" s="10">
        <f>[1]!Data[[#This Row],[Manufacturing costs]]+[1]!Data[[#This Row],[Shipping costs]]+[1]!Data[[#This Row],[Costs]]</f>
        <v>297.86426095626132</v>
      </c>
      <c r="X25" s="10">
        <f>[1]!Data[[#This Row],[Revenue generated]]- [1]!Data[[#This Row],[Total Cost]]</f>
        <v>8560.5033100552191</v>
      </c>
      <c r="Y25" s="12">
        <f>[1]!Data[[#This Row],[Profit]]/[1]!Data[[#This Row],[Revenue generated]]</f>
        <v>0.96637481357953514</v>
      </c>
      <c r="Z25" s="13" t="str">
        <f>IF([1]!Data[[#This Row],[Stock levels]]&lt;20,"Low Stock","Healthy")</f>
        <v>Healthy</v>
      </c>
      <c r="AA25" s="13" t="str">
        <f>IF([1]!Data[[#This Row],[Defect rates]]&gt;3,"High Risk",
IF([1]!Data[[#This Row],[Defect rates]]&gt;1,"Medium Risk","Low Risk"))</f>
        <v>Medium Risk</v>
      </c>
      <c r="AB25" s="14">
        <f>IF([1]!Data[[#This Row],[Inspection results]]="Pass",1,
IF([1]!Data[[#This Row],[Inspection results]]="Pending",0.5,0))</f>
        <v>0.5</v>
      </c>
    </row>
    <row r="26" spans="1:28" x14ac:dyDescent="0.3">
      <c r="A26" s="1" t="s">
        <v>0</v>
      </c>
      <c r="B26" s="2" t="s">
        <v>50</v>
      </c>
      <c r="C26" s="3">
        <v>4.1563083593111001</v>
      </c>
      <c r="D26" s="2">
        <v>32</v>
      </c>
      <c r="E26" s="2">
        <v>209</v>
      </c>
      <c r="F26" s="3">
        <v>9049.0778609398894</v>
      </c>
      <c r="G26" s="2">
        <v>4</v>
      </c>
      <c r="H26" s="2">
        <v>26</v>
      </c>
      <c r="I26" s="2">
        <v>2</v>
      </c>
      <c r="J26" s="2">
        <v>8</v>
      </c>
      <c r="K26" s="2" t="s">
        <v>16</v>
      </c>
      <c r="L26" s="3">
        <v>9.7412916892843597</v>
      </c>
      <c r="M26" s="2" t="s">
        <v>33</v>
      </c>
      <c r="N26" s="2" t="s">
        <v>26</v>
      </c>
      <c r="O26" s="2">
        <v>447</v>
      </c>
      <c r="P26" s="2">
        <v>3</v>
      </c>
      <c r="Q26" s="3">
        <v>40.382359702924802</v>
      </c>
      <c r="R26" s="2" t="s">
        <v>5</v>
      </c>
      <c r="S26" s="4">
        <v>3.69131029262872</v>
      </c>
      <c r="T26" s="2" t="s">
        <v>13</v>
      </c>
      <c r="U26" s="2" t="s">
        <v>21</v>
      </c>
      <c r="V26" s="3">
        <v>758.72477260293795</v>
      </c>
      <c r="W26" s="3">
        <f>[1]!Data[[#This Row],[Manufacturing costs]]+[1]!Data[[#This Row],[Shipping costs]]+[1]!Data[[#This Row],[Costs]]</f>
        <v>808.84842399514707</v>
      </c>
      <c r="X26" s="3">
        <f>[1]!Data[[#This Row],[Revenue generated]]- [1]!Data[[#This Row],[Total Cost]]</f>
        <v>8240.2294369447427</v>
      </c>
      <c r="Y26" s="5">
        <f>[1]!Data[[#This Row],[Profit]]/[1]!Data[[#This Row],[Revenue generated]]</f>
        <v>0.91061537579574603</v>
      </c>
      <c r="Z26" s="6" t="str">
        <f>IF([1]!Data[[#This Row],[Stock levels]]&lt;20,"Low Stock","Healthy")</f>
        <v>Low Stock</v>
      </c>
      <c r="AA26" s="6" t="str">
        <f>IF([1]!Data[[#This Row],[Defect rates]]&gt;3,"High Risk",
IF([1]!Data[[#This Row],[Defect rates]]&gt;1,"Medium Risk","Low Risk"))</f>
        <v>High Risk</v>
      </c>
      <c r="AB26" s="7">
        <f>IF([1]!Data[[#This Row],[Inspection results]]="Pass",1,
IF([1]!Data[[#This Row],[Inspection results]]="Pending",0.5,0))</f>
        <v>0.5</v>
      </c>
    </row>
    <row r="27" spans="1:28" x14ac:dyDescent="0.3">
      <c r="A27" s="8" t="s">
        <v>0</v>
      </c>
      <c r="B27" s="9" t="s">
        <v>51</v>
      </c>
      <c r="C27" s="10">
        <v>39.629343985092603</v>
      </c>
      <c r="D27" s="9">
        <v>73</v>
      </c>
      <c r="E27" s="9">
        <v>142</v>
      </c>
      <c r="F27" s="10">
        <v>2174.7770543506499</v>
      </c>
      <c r="G27" s="9">
        <v>82</v>
      </c>
      <c r="H27" s="9">
        <v>11</v>
      </c>
      <c r="I27" s="9">
        <v>52</v>
      </c>
      <c r="J27" s="9">
        <v>3</v>
      </c>
      <c r="K27" s="9" t="s">
        <v>16</v>
      </c>
      <c r="L27" s="10">
        <v>2.2310736812817198</v>
      </c>
      <c r="M27" s="9" t="s">
        <v>25</v>
      </c>
      <c r="N27" s="9" t="s">
        <v>18</v>
      </c>
      <c r="O27" s="9">
        <v>934</v>
      </c>
      <c r="P27" s="9">
        <v>23</v>
      </c>
      <c r="Q27" s="10">
        <v>78.280383118415301</v>
      </c>
      <c r="R27" s="9" t="s">
        <v>5</v>
      </c>
      <c r="S27" s="11">
        <v>3.79723121711418</v>
      </c>
      <c r="T27" s="9" t="s">
        <v>6</v>
      </c>
      <c r="U27" s="9" t="s">
        <v>7</v>
      </c>
      <c r="V27" s="10">
        <v>458.53594573920901</v>
      </c>
      <c r="W27" s="10">
        <f>[1]!Data[[#This Row],[Manufacturing costs]]+[1]!Data[[#This Row],[Shipping costs]]+[1]!Data[[#This Row],[Costs]]</f>
        <v>539.047402538906</v>
      </c>
      <c r="X27" s="10">
        <f>[1]!Data[[#This Row],[Revenue generated]]- [1]!Data[[#This Row],[Total Cost]]</f>
        <v>1635.7296518117439</v>
      </c>
      <c r="Y27" s="12">
        <f>[1]!Data[[#This Row],[Profit]]/[1]!Data[[#This Row],[Revenue generated]]</f>
        <v>0.75213670685896761</v>
      </c>
      <c r="Z27" s="13" t="str">
        <f>IF([1]!Data[[#This Row],[Stock levels]]&lt;20,"Low Stock","Healthy")</f>
        <v>Healthy</v>
      </c>
      <c r="AA27" s="13" t="str">
        <f>IF([1]!Data[[#This Row],[Defect rates]]&gt;3,"High Risk",
IF([1]!Data[[#This Row],[Defect rates]]&gt;1,"Medium Risk","Low Risk"))</f>
        <v>High Risk</v>
      </c>
      <c r="AB27" s="14">
        <f>IF([1]!Data[[#This Row],[Inspection results]]="Pass",1,
IF([1]!Data[[#This Row],[Inspection results]]="Pending",0.5,0))</f>
        <v>0.5</v>
      </c>
    </row>
    <row r="28" spans="1:28" x14ac:dyDescent="0.3">
      <c r="A28" s="1" t="s">
        <v>0</v>
      </c>
      <c r="B28" s="2" t="s">
        <v>52</v>
      </c>
      <c r="C28" s="3">
        <v>97.446946617892806</v>
      </c>
      <c r="D28" s="2">
        <v>9</v>
      </c>
      <c r="E28" s="2">
        <v>353</v>
      </c>
      <c r="F28" s="3">
        <v>3716.49332589403</v>
      </c>
      <c r="G28" s="2">
        <v>59</v>
      </c>
      <c r="H28" s="2">
        <v>16</v>
      </c>
      <c r="I28" s="2">
        <v>48</v>
      </c>
      <c r="J28" s="2">
        <v>4</v>
      </c>
      <c r="K28" s="2" t="s">
        <v>2</v>
      </c>
      <c r="L28" s="3">
        <v>6.5075486210785503</v>
      </c>
      <c r="M28" s="2" t="s">
        <v>33</v>
      </c>
      <c r="N28" s="2" t="s">
        <v>26</v>
      </c>
      <c r="O28" s="2">
        <v>171</v>
      </c>
      <c r="P28" s="2">
        <v>4</v>
      </c>
      <c r="Q28" s="3">
        <v>15.972229757181699</v>
      </c>
      <c r="R28" s="2" t="s">
        <v>36</v>
      </c>
      <c r="S28" s="4">
        <v>2.1193197367249201</v>
      </c>
      <c r="T28" s="2" t="s">
        <v>20</v>
      </c>
      <c r="U28" s="2" t="s">
        <v>21</v>
      </c>
      <c r="V28" s="3">
        <v>617.86691645837698</v>
      </c>
      <c r="W28" s="3">
        <f>[1]!Data[[#This Row],[Manufacturing costs]]+[1]!Data[[#This Row],[Shipping costs]]+[1]!Data[[#This Row],[Costs]]</f>
        <v>640.3466948366372</v>
      </c>
      <c r="X28" s="3">
        <f>[1]!Data[[#This Row],[Revenue generated]]- [1]!Data[[#This Row],[Total Cost]]</f>
        <v>3076.1466310573928</v>
      </c>
      <c r="Y28" s="5">
        <f>[1]!Data[[#This Row],[Profit]]/[1]!Data[[#This Row],[Revenue generated]]</f>
        <v>0.8277013736644887</v>
      </c>
      <c r="Z28" s="6" t="str">
        <f>IF([1]!Data[[#This Row],[Stock levels]]&lt;20,"Low Stock","Healthy")</f>
        <v>Healthy</v>
      </c>
      <c r="AA28" s="6" t="str">
        <f>IF([1]!Data[[#This Row],[Defect rates]]&gt;3,"High Risk",
IF([1]!Data[[#This Row],[Defect rates]]&gt;1,"Medium Risk","Low Risk"))</f>
        <v>Medium Risk</v>
      </c>
      <c r="AB28" s="7">
        <f>IF([1]!Data[[#This Row],[Inspection results]]="Pass",1,
IF([1]!Data[[#This Row],[Inspection results]]="Pending",0.5,0))</f>
        <v>1</v>
      </c>
    </row>
    <row r="29" spans="1:28" x14ac:dyDescent="0.3">
      <c r="A29" s="8" t="s">
        <v>29</v>
      </c>
      <c r="B29" s="9" t="s">
        <v>53</v>
      </c>
      <c r="C29" s="10">
        <v>92.557360812401996</v>
      </c>
      <c r="D29" s="9">
        <v>42</v>
      </c>
      <c r="E29" s="9">
        <v>352</v>
      </c>
      <c r="F29" s="10">
        <v>2686.4572235759802</v>
      </c>
      <c r="G29" s="9">
        <v>47</v>
      </c>
      <c r="H29" s="9">
        <v>9</v>
      </c>
      <c r="I29" s="9">
        <v>62</v>
      </c>
      <c r="J29" s="9">
        <v>8</v>
      </c>
      <c r="K29" s="9" t="s">
        <v>16</v>
      </c>
      <c r="L29" s="10">
        <v>7.4067509529980704</v>
      </c>
      <c r="M29" s="9" t="s">
        <v>17</v>
      </c>
      <c r="N29" s="9" t="s">
        <v>4</v>
      </c>
      <c r="O29" s="9">
        <v>291</v>
      </c>
      <c r="P29" s="9">
        <v>4</v>
      </c>
      <c r="Q29" s="10">
        <v>10.5282450700421</v>
      </c>
      <c r="R29" s="9" t="s">
        <v>19</v>
      </c>
      <c r="S29" s="11">
        <v>2.8646678378833701</v>
      </c>
      <c r="T29" s="9" t="s">
        <v>28</v>
      </c>
      <c r="U29" s="9" t="s">
        <v>7</v>
      </c>
      <c r="V29" s="10">
        <v>762.45918215568304</v>
      </c>
      <c r="W29" s="10">
        <f>[1]!Data[[#This Row],[Manufacturing costs]]+[1]!Data[[#This Row],[Shipping costs]]+[1]!Data[[#This Row],[Costs]]</f>
        <v>780.39417817872322</v>
      </c>
      <c r="X29" s="10">
        <f>[1]!Data[[#This Row],[Revenue generated]]- [1]!Data[[#This Row],[Total Cost]]</f>
        <v>1906.0630453972569</v>
      </c>
      <c r="Y29" s="12">
        <f>[1]!Data[[#This Row],[Profit]]/[1]!Data[[#This Row],[Revenue generated]]</f>
        <v>0.70950805718025545</v>
      </c>
      <c r="Z29" s="13" t="str">
        <f>IF([1]!Data[[#This Row],[Stock levels]]&lt;20,"Low Stock","Healthy")</f>
        <v>Healthy</v>
      </c>
      <c r="AA29" s="13" t="str">
        <f>IF([1]!Data[[#This Row],[Defect rates]]&gt;3,"High Risk",
IF([1]!Data[[#This Row],[Defect rates]]&gt;1,"Medium Risk","Low Risk"))</f>
        <v>Medium Risk</v>
      </c>
      <c r="AB29" s="14">
        <f>IF([1]!Data[[#This Row],[Inspection results]]="Pass",1,
IF([1]!Data[[#This Row],[Inspection results]]="Pending",0.5,0))</f>
        <v>0</v>
      </c>
    </row>
    <row r="30" spans="1:28" x14ac:dyDescent="0.3">
      <c r="A30" s="1" t="s">
        <v>29</v>
      </c>
      <c r="B30" s="2" t="s">
        <v>54</v>
      </c>
      <c r="C30" s="3">
        <v>2.3972747055971402</v>
      </c>
      <c r="D30" s="2">
        <v>12</v>
      </c>
      <c r="E30" s="2">
        <v>394</v>
      </c>
      <c r="F30" s="3">
        <v>6117.3246150839896</v>
      </c>
      <c r="G30" s="2">
        <v>48</v>
      </c>
      <c r="H30" s="2">
        <v>15</v>
      </c>
      <c r="I30" s="2">
        <v>24</v>
      </c>
      <c r="J30" s="2">
        <v>4</v>
      </c>
      <c r="K30" s="2" t="s">
        <v>2</v>
      </c>
      <c r="L30" s="3">
        <v>9.8981405080692202</v>
      </c>
      <c r="M30" s="2" t="s">
        <v>12</v>
      </c>
      <c r="N30" s="2" t="s">
        <v>4</v>
      </c>
      <c r="O30" s="2">
        <v>171</v>
      </c>
      <c r="P30" s="2">
        <v>7</v>
      </c>
      <c r="Q30" s="3">
        <v>59.429381810691503</v>
      </c>
      <c r="R30" s="2" t="s">
        <v>19</v>
      </c>
      <c r="S30" s="4">
        <v>0.81575707929567198</v>
      </c>
      <c r="T30" s="2" t="s">
        <v>13</v>
      </c>
      <c r="U30" s="2" t="s">
        <v>21</v>
      </c>
      <c r="V30" s="3">
        <v>123.437027511827</v>
      </c>
      <c r="W30" s="3">
        <f>[1]!Data[[#This Row],[Manufacturing costs]]+[1]!Data[[#This Row],[Shipping costs]]+[1]!Data[[#This Row],[Costs]]</f>
        <v>192.76454983058773</v>
      </c>
      <c r="X30" s="3">
        <f>[1]!Data[[#This Row],[Revenue generated]]- [1]!Data[[#This Row],[Total Cost]]</f>
        <v>5924.5600652534022</v>
      </c>
      <c r="Y30" s="5">
        <f>[1]!Data[[#This Row],[Profit]]/[1]!Data[[#This Row],[Revenue generated]]</f>
        <v>0.96848874925563511</v>
      </c>
      <c r="Z30" s="6" t="str">
        <f>IF([1]!Data[[#This Row],[Stock levels]]&lt;20,"Low Stock","Healthy")</f>
        <v>Healthy</v>
      </c>
      <c r="AA30" s="6" t="str">
        <f>IF([1]!Data[[#This Row],[Defect rates]]&gt;3,"High Risk",
IF([1]!Data[[#This Row],[Defect rates]]&gt;1,"Medium Risk","Low Risk"))</f>
        <v>Low Risk</v>
      </c>
      <c r="AB30" s="7">
        <f>IF([1]!Data[[#This Row],[Inspection results]]="Pass",1,
IF([1]!Data[[#This Row],[Inspection results]]="Pending",0.5,0))</f>
        <v>0</v>
      </c>
    </row>
    <row r="31" spans="1:28" x14ac:dyDescent="0.3">
      <c r="A31" s="8" t="s">
        <v>29</v>
      </c>
      <c r="B31" s="9" t="s">
        <v>55</v>
      </c>
      <c r="C31" s="10">
        <v>63.447559185207297</v>
      </c>
      <c r="D31" s="9">
        <v>3</v>
      </c>
      <c r="E31" s="9">
        <v>253</v>
      </c>
      <c r="F31" s="10">
        <v>8318.9031946171708</v>
      </c>
      <c r="G31" s="9">
        <v>45</v>
      </c>
      <c r="H31" s="9">
        <v>5</v>
      </c>
      <c r="I31" s="9">
        <v>67</v>
      </c>
      <c r="J31" s="9">
        <v>7</v>
      </c>
      <c r="K31" s="9" t="s">
        <v>2</v>
      </c>
      <c r="L31" s="10">
        <v>8.1009731453970293</v>
      </c>
      <c r="M31" s="9" t="s">
        <v>12</v>
      </c>
      <c r="N31" s="9" t="s">
        <v>18</v>
      </c>
      <c r="O31" s="9">
        <v>329</v>
      </c>
      <c r="P31" s="9">
        <v>7</v>
      </c>
      <c r="Q31" s="10">
        <v>39.292875586065698</v>
      </c>
      <c r="R31" s="9" t="s">
        <v>36</v>
      </c>
      <c r="S31" s="11">
        <v>3.8780989365884802</v>
      </c>
      <c r="T31" s="9" t="s">
        <v>6</v>
      </c>
      <c r="U31" s="9" t="s">
        <v>7</v>
      </c>
      <c r="V31" s="10">
        <v>764.93537594070801</v>
      </c>
      <c r="W31" s="10">
        <f>[1]!Data[[#This Row],[Manufacturing costs]]+[1]!Data[[#This Row],[Shipping costs]]+[1]!Data[[#This Row],[Costs]]</f>
        <v>812.32922467217077</v>
      </c>
      <c r="X31" s="10">
        <f>[1]!Data[[#This Row],[Revenue generated]]- [1]!Data[[#This Row],[Total Cost]]</f>
        <v>7506.5739699450005</v>
      </c>
      <c r="Y31" s="12">
        <f>[1]!Data[[#This Row],[Profit]]/[1]!Data[[#This Row],[Revenue generated]]</f>
        <v>0.90235140310350093</v>
      </c>
      <c r="Z31" s="13" t="str">
        <f>IF([1]!Data[[#This Row],[Stock levels]]&lt;20,"Low Stock","Healthy")</f>
        <v>Healthy</v>
      </c>
      <c r="AA31" s="13" t="str">
        <f>IF([1]!Data[[#This Row],[Defect rates]]&gt;3,"High Risk",
IF([1]!Data[[#This Row],[Defect rates]]&gt;1,"Medium Risk","Low Risk"))</f>
        <v>High Risk</v>
      </c>
      <c r="AB31" s="14">
        <f>IF([1]!Data[[#This Row],[Inspection results]]="Pass",1,
IF([1]!Data[[#This Row],[Inspection results]]="Pending",0.5,0))</f>
        <v>1</v>
      </c>
    </row>
    <row r="32" spans="1:28" x14ac:dyDescent="0.3">
      <c r="A32" s="1" t="s">
        <v>0</v>
      </c>
      <c r="B32" s="2" t="s">
        <v>56</v>
      </c>
      <c r="C32" s="3">
        <v>8.0228592105263896</v>
      </c>
      <c r="D32" s="2">
        <v>10</v>
      </c>
      <c r="E32" s="2">
        <v>327</v>
      </c>
      <c r="F32" s="3">
        <v>2766.3423668660798</v>
      </c>
      <c r="G32" s="2">
        <v>60</v>
      </c>
      <c r="H32" s="2">
        <v>26</v>
      </c>
      <c r="I32" s="2">
        <v>35</v>
      </c>
      <c r="J32" s="2">
        <v>7</v>
      </c>
      <c r="K32" s="2" t="s">
        <v>2</v>
      </c>
      <c r="L32" s="3">
        <v>8.9545283153180097</v>
      </c>
      <c r="M32" s="2" t="s">
        <v>25</v>
      </c>
      <c r="N32" s="2" t="s">
        <v>18</v>
      </c>
      <c r="O32" s="2">
        <v>806</v>
      </c>
      <c r="P32" s="2">
        <v>30</v>
      </c>
      <c r="Q32" s="3">
        <v>51.634893400109299</v>
      </c>
      <c r="R32" s="2" t="s">
        <v>5</v>
      </c>
      <c r="S32" s="4">
        <v>0.96539470535239302</v>
      </c>
      <c r="T32" s="2" t="s">
        <v>6</v>
      </c>
      <c r="U32" s="2" t="s">
        <v>14</v>
      </c>
      <c r="V32" s="3">
        <v>880.08098824716103</v>
      </c>
      <c r="W32" s="3">
        <f>[1]!Data[[#This Row],[Manufacturing costs]]+[1]!Data[[#This Row],[Shipping costs]]+[1]!Data[[#This Row],[Costs]]</f>
        <v>940.67040996258834</v>
      </c>
      <c r="X32" s="3">
        <f>[1]!Data[[#This Row],[Revenue generated]]- [1]!Data[[#This Row],[Total Cost]]</f>
        <v>1825.6719569034915</v>
      </c>
      <c r="Y32" s="5">
        <f>[1]!Data[[#This Row],[Profit]]/[1]!Data[[#This Row],[Revenue generated]]</f>
        <v>0.65995878846035594</v>
      </c>
      <c r="Z32" s="6" t="str">
        <f>IF([1]!Data[[#This Row],[Stock levels]]&lt;20,"Low Stock","Healthy")</f>
        <v>Healthy</v>
      </c>
      <c r="AA32" s="6" t="str">
        <f>IF([1]!Data[[#This Row],[Defect rates]]&gt;3,"High Risk",
IF([1]!Data[[#This Row],[Defect rates]]&gt;1,"Medium Risk","Low Risk"))</f>
        <v>Low Risk</v>
      </c>
      <c r="AB32" s="7">
        <f>IF([1]!Data[[#This Row],[Inspection results]]="Pass",1,
IF([1]!Data[[#This Row],[Inspection results]]="Pending",0.5,0))</f>
        <v>0.5</v>
      </c>
    </row>
    <row r="33" spans="1:28" x14ac:dyDescent="0.3">
      <c r="A33" s="8" t="s">
        <v>8</v>
      </c>
      <c r="B33" s="9" t="s">
        <v>57</v>
      </c>
      <c r="C33" s="10">
        <v>50.847393051718697</v>
      </c>
      <c r="D33" s="9">
        <v>28</v>
      </c>
      <c r="E33" s="9">
        <v>168</v>
      </c>
      <c r="F33" s="10">
        <v>9655.1351027193905</v>
      </c>
      <c r="G33" s="9">
        <v>6</v>
      </c>
      <c r="H33" s="9">
        <v>17</v>
      </c>
      <c r="I33" s="9">
        <v>44</v>
      </c>
      <c r="J33" s="9">
        <v>4</v>
      </c>
      <c r="K33" s="9" t="s">
        <v>2</v>
      </c>
      <c r="L33" s="10">
        <v>2.6796609649813998</v>
      </c>
      <c r="M33" s="9" t="s">
        <v>3</v>
      </c>
      <c r="N33" s="9" t="s">
        <v>34</v>
      </c>
      <c r="O33" s="9">
        <v>461</v>
      </c>
      <c r="P33" s="9">
        <v>8</v>
      </c>
      <c r="Q33" s="10">
        <v>60.251145661598002</v>
      </c>
      <c r="R33" s="9" t="s">
        <v>5</v>
      </c>
      <c r="S33" s="11">
        <v>2.9890000066550702</v>
      </c>
      <c r="T33" s="9" t="s">
        <v>20</v>
      </c>
      <c r="U33" s="9" t="s">
        <v>14</v>
      </c>
      <c r="V33" s="10">
        <v>609.379206618426</v>
      </c>
      <c r="W33" s="10">
        <f>[1]!Data[[#This Row],[Manufacturing costs]]+[1]!Data[[#This Row],[Shipping costs]]+[1]!Data[[#This Row],[Costs]]</f>
        <v>672.31001324500539</v>
      </c>
      <c r="X33" s="10">
        <f>[1]!Data[[#This Row],[Revenue generated]]- [1]!Data[[#This Row],[Total Cost]]</f>
        <v>8982.8250894743851</v>
      </c>
      <c r="Y33" s="12">
        <f>[1]!Data[[#This Row],[Profit]]/[1]!Data[[#This Row],[Revenue generated]]</f>
        <v>0.93036762240068005</v>
      </c>
      <c r="Z33" s="13" t="str">
        <f>IF([1]!Data[[#This Row],[Stock levels]]&lt;20,"Low Stock","Healthy")</f>
        <v>Low Stock</v>
      </c>
      <c r="AA33" s="13" t="str">
        <f>IF([1]!Data[[#This Row],[Defect rates]]&gt;3,"High Risk",
IF([1]!Data[[#This Row],[Defect rates]]&gt;1,"Medium Risk","Low Risk"))</f>
        <v>Medium Risk</v>
      </c>
      <c r="AB33" s="14">
        <f>IF([1]!Data[[#This Row],[Inspection results]]="Pass",1,
IF([1]!Data[[#This Row],[Inspection results]]="Pending",0.5,0))</f>
        <v>0.5</v>
      </c>
    </row>
    <row r="34" spans="1:28" x14ac:dyDescent="0.3">
      <c r="A34" s="1" t="s">
        <v>8</v>
      </c>
      <c r="B34" s="2" t="s">
        <v>58</v>
      </c>
      <c r="C34" s="3">
        <v>79.209936015656695</v>
      </c>
      <c r="D34" s="2">
        <v>43</v>
      </c>
      <c r="E34" s="2">
        <v>781</v>
      </c>
      <c r="F34" s="3">
        <v>9571.5504873278096</v>
      </c>
      <c r="G34" s="2">
        <v>89</v>
      </c>
      <c r="H34" s="2">
        <v>13</v>
      </c>
      <c r="I34" s="2">
        <v>64</v>
      </c>
      <c r="J34" s="2">
        <v>4</v>
      </c>
      <c r="K34" s="2" t="s">
        <v>16</v>
      </c>
      <c r="L34" s="3">
        <v>6.5991049012385803</v>
      </c>
      <c r="M34" s="2" t="s">
        <v>3</v>
      </c>
      <c r="N34" s="2" t="s">
        <v>18</v>
      </c>
      <c r="O34" s="2">
        <v>737</v>
      </c>
      <c r="P34" s="2">
        <v>7</v>
      </c>
      <c r="Q34" s="3">
        <v>29.6924671537497</v>
      </c>
      <c r="R34" s="2" t="s">
        <v>36</v>
      </c>
      <c r="S34" s="4">
        <v>1.94603611938611</v>
      </c>
      <c r="T34" s="2" t="s">
        <v>6</v>
      </c>
      <c r="U34" s="2" t="s">
        <v>21</v>
      </c>
      <c r="V34" s="3">
        <v>761.17390951487698</v>
      </c>
      <c r="W34" s="3">
        <f>[1]!Data[[#This Row],[Manufacturing costs]]+[1]!Data[[#This Row],[Shipping costs]]+[1]!Data[[#This Row],[Costs]]</f>
        <v>797.46548156986523</v>
      </c>
      <c r="X34" s="3">
        <f>[1]!Data[[#This Row],[Revenue generated]]- [1]!Data[[#This Row],[Total Cost]]</f>
        <v>8774.0850057579446</v>
      </c>
      <c r="Y34" s="5">
        <f>[1]!Data[[#This Row],[Profit]]/[1]!Data[[#This Row],[Revenue generated]]</f>
        <v>0.91668377211971408</v>
      </c>
      <c r="Z34" s="6" t="str">
        <f>IF([1]!Data[[#This Row],[Stock levels]]&lt;20,"Low Stock","Healthy")</f>
        <v>Healthy</v>
      </c>
      <c r="AA34" s="6" t="str">
        <f>IF([1]!Data[[#This Row],[Defect rates]]&gt;3,"High Risk",
IF([1]!Data[[#This Row],[Defect rates]]&gt;1,"Medium Risk","Low Risk"))</f>
        <v>Medium Risk</v>
      </c>
      <c r="AB34" s="7">
        <f>IF([1]!Data[[#This Row],[Inspection results]]="Pass",1,
IF([1]!Data[[#This Row],[Inspection results]]="Pending",0.5,0))</f>
        <v>1</v>
      </c>
    </row>
    <row r="35" spans="1:28" x14ac:dyDescent="0.3">
      <c r="A35" s="8" t="s">
        <v>29</v>
      </c>
      <c r="B35" s="9" t="s">
        <v>59</v>
      </c>
      <c r="C35" s="10">
        <v>64.795435000155607</v>
      </c>
      <c r="D35" s="9">
        <v>63</v>
      </c>
      <c r="E35" s="9">
        <v>616</v>
      </c>
      <c r="F35" s="10">
        <v>5149.9983504080301</v>
      </c>
      <c r="G35" s="9">
        <v>4</v>
      </c>
      <c r="H35" s="9">
        <v>17</v>
      </c>
      <c r="I35" s="9">
        <v>95</v>
      </c>
      <c r="J35" s="9">
        <v>9</v>
      </c>
      <c r="K35" s="9" t="s">
        <v>16</v>
      </c>
      <c r="L35" s="10">
        <v>4.85827050343664</v>
      </c>
      <c r="M35" s="9" t="s">
        <v>17</v>
      </c>
      <c r="N35" s="9" t="s">
        <v>34</v>
      </c>
      <c r="O35" s="9">
        <v>251</v>
      </c>
      <c r="P35" s="9">
        <v>23</v>
      </c>
      <c r="Q35" s="10">
        <v>23.853427512896101</v>
      </c>
      <c r="R35" s="9" t="s">
        <v>19</v>
      </c>
      <c r="S35" s="11">
        <v>3.54104601225092</v>
      </c>
      <c r="T35" s="9" t="s">
        <v>28</v>
      </c>
      <c r="U35" s="9" t="s">
        <v>21</v>
      </c>
      <c r="V35" s="10">
        <v>371.25529551987103</v>
      </c>
      <c r="W35" s="10">
        <f>[1]!Data[[#This Row],[Manufacturing costs]]+[1]!Data[[#This Row],[Shipping costs]]+[1]!Data[[#This Row],[Costs]]</f>
        <v>399.96699353620374</v>
      </c>
      <c r="X35" s="10">
        <f>[1]!Data[[#This Row],[Revenue generated]]- [1]!Data[[#This Row],[Total Cost]]</f>
        <v>4750.0313568718266</v>
      </c>
      <c r="Y35" s="12">
        <f>[1]!Data[[#This Row],[Profit]]/[1]!Data[[#This Row],[Revenue generated]]</f>
        <v>0.92233648123314171</v>
      </c>
      <c r="Z35" s="13" t="str">
        <f>IF([1]!Data[[#This Row],[Stock levels]]&lt;20,"Low Stock","Healthy")</f>
        <v>Low Stock</v>
      </c>
      <c r="AA35" s="13" t="str">
        <f>IF([1]!Data[[#This Row],[Defect rates]]&gt;3,"High Risk",
IF([1]!Data[[#This Row],[Defect rates]]&gt;1,"Medium Risk","Low Risk"))</f>
        <v>High Risk</v>
      </c>
      <c r="AB35" s="14">
        <f>IF([1]!Data[[#This Row],[Inspection results]]="Pass",1,
IF([1]!Data[[#This Row],[Inspection results]]="Pending",0.5,0))</f>
        <v>0</v>
      </c>
    </row>
    <row r="36" spans="1:28" x14ac:dyDescent="0.3">
      <c r="A36" s="1" t="s">
        <v>8</v>
      </c>
      <c r="B36" s="2" t="s">
        <v>60</v>
      </c>
      <c r="C36" s="3">
        <v>37.467592329842397</v>
      </c>
      <c r="D36" s="2">
        <v>96</v>
      </c>
      <c r="E36" s="2">
        <v>602</v>
      </c>
      <c r="F36" s="3">
        <v>9061.7108955077201</v>
      </c>
      <c r="G36" s="2">
        <v>1</v>
      </c>
      <c r="H36" s="2">
        <v>26</v>
      </c>
      <c r="I36" s="2">
        <v>21</v>
      </c>
      <c r="J36" s="2">
        <v>7</v>
      </c>
      <c r="K36" s="2" t="s">
        <v>10</v>
      </c>
      <c r="L36" s="3">
        <v>1.0194875708221101</v>
      </c>
      <c r="M36" s="2" t="s">
        <v>12</v>
      </c>
      <c r="N36" s="2" t="s">
        <v>34</v>
      </c>
      <c r="O36" s="2">
        <v>452</v>
      </c>
      <c r="P36" s="2">
        <v>10</v>
      </c>
      <c r="Q36" s="3">
        <v>10.754272815029299</v>
      </c>
      <c r="R36" s="2" t="s">
        <v>36</v>
      </c>
      <c r="S36" s="4">
        <v>0.64660455937205397</v>
      </c>
      <c r="T36" s="2" t="s">
        <v>6</v>
      </c>
      <c r="U36" s="2" t="s">
        <v>7</v>
      </c>
      <c r="V36" s="3">
        <v>510.35800043352299</v>
      </c>
      <c r="W36" s="3">
        <f>[1]!Data[[#This Row],[Manufacturing costs]]+[1]!Data[[#This Row],[Shipping costs]]+[1]!Data[[#This Row],[Costs]]</f>
        <v>522.13176081937445</v>
      </c>
      <c r="X36" s="3">
        <f>[1]!Data[[#This Row],[Revenue generated]]- [1]!Data[[#This Row],[Total Cost]]</f>
        <v>8539.5791346883452</v>
      </c>
      <c r="Y36" s="5">
        <f>[1]!Data[[#This Row],[Profit]]/[1]!Data[[#This Row],[Revenue generated]]</f>
        <v>0.94238044373295793</v>
      </c>
      <c r="Z36" s="6" t="str">
        <f>IF([1]!Data[[#This Row],[Stock levels]]&lt;20,"Low Stock","Healthy")</f>
        <v>Low Stock</v>
      </c>
      <c r="AA36" s="6" t="str">
        <f>IF([1]!Data[[#This Row],[Defect rates]]&gt;3,"High Risk",
IF([1]!Data[[#This Row],[Defect rates]]&gt;1,"Medium Risk","Low Risk"))</f>
        <v>Low Risk</v>
      </c>
      <c r="AB36" s="7">
        <f>IF([1]!Data[[#This Row],[Inspection results]]="Pass",1,
IF([1]!Data[[#This Row],[Inspection results]]="Pending",0.5,0))</f>
        <v>1</v>
      </c>
    </row>
    <row r="37" spans="1:28" x14ac:dyDescent="0.3">
      <c r="A37" s="8" t="s">
        <v>29</v>
      </c>
      <c r="B37" s="9" t="s">
        <v>61</v>
      </c>
      <c r="C37" s="10">
        <v>84.957786816350406</v>
      </c>
      <c r="D37" s="9">
        <v>11</v>
      </c>
      <c r="E37" s="9">
        <v>449</v>
      </c>
      <c r="F37" s="10">
        <v>6541.3293448024597</v>
      </c>
      <c r="G37" s="9">
        <v>42</v>
      </c>
      <c r="H37" s="9">
        <v>27</v>
      </c>
      <c r="I37" s="9">
        <v>85</v>
      </c>
      <c r="J37" s="9">
        <v>8</v>
      </c>
      <c r="K37" s="9" t="s">
        <v>16</v>
      </c>
      <c r="L37" s="10">
        <v>5.2881899903273997</v>
      </c>
      <c r="M37" s="9" t="s">
        <v>12</v>
      </c>
      <c r="N37" s="9" t="s">
        <v>23</v>
      </c>
      <c r="O37" s="9">
        <v>367</v>
      </c>
      <c r="P37" s="9">
        <v>2</v>
      </c>
      <c r="Q37" s="10">
        <v>58.004787044743701</v>
      </c>
      <c r="R37" s="9" t="s">
        <v>36</v>
      </c>
      <c r="S37" s="11">
        <v>0.54115409806058101</v>
      </c>
      <c r="T37" s="9" t="s">
        <v>28</v>
      </c>
      <c r="U37" s="9" t="s">
        <v>14</v>
      </c>
      <c r="V37" s="10">
        <v>553.42047123035502</v>
      </c>
      <c r="W37" s="10">
        <f>[1]!Data[[#This Row],[Manufacturing costs]]+[1]!Data[[#This Row],[Shipping costs]]+[1]!Data[[#This Row],[Costs]]</f>
        <v>616.71344826542611</v>
      </c>
      <c r="X37" s="10">
        <f>[1]!Data[[#This Row],[Revenue generated]]- [1]!Data[[#This Row],[Total Cost]]</f>
        <v>5924.6158965370332</v>
      </c>
      <c r="Y37" s="12">
        <f>[1]!Data[[#This Row],[Profit]]/[1]!Data[[#This Row],[Revenue generated]]</f>
        <v>0.90572047121347776</v>
      </c>
      <c r="Z37" s="13" t="str">
        <f>IF([1]!Data[[#This Row],[Stock levels]]&lt;20,"Low Stock","Healthy")</f>
        <v>Healthy</v>
      </c>
      <c r="AA37" s="13" t="str">
        <f>IF([1]!Data[[#This Row],[Defect rates]]&gt;3,"High Risk",
IF([1]!Data[[#This Row],[Defect rates]]&gt;1,"Medium Risk","Low Risk"))</f>
        <v>Low Risk</v>
      </c>
      <c r="AB37" s="14">
        <f>IF([1]!Data[[#This Row],[Inspection results]]="Pass",1,
IF([1]!Data[[#This Row],[Inspection results]]="Pending",0.5,0))</f>
        <v>1</v>
      </c>
    </row>
    <row r="38" spans="1:28" x14ac:dyDescent="0.3">
      <c r="A38" s="1" t="s">
        <v>8</v>
      </c>
      <c r="B38" s="2" t="s">
        <v>62</v>
      </c>
      <c r="C38" s="3">
        <v>9.81300257875405</v>
      </c>
      <c r="D38" s="2">
        <v>34</v>
      </c>
      <c r="E38" s="2">
        <v>963</v>
      </c>
      <c r="F38" s="3">
        <v>7573.4024578487297</v>
      </c>
      <c r="G38" s="2">
        <v>18</v>
      </c>
      <c r="H38" s="2">
        <v>23</v>
      </c>
      <c r="I38" s="2">
        <v>28</v>
      </c>
      <c r="J38" s="2">
        <v>3</v>
      </c>
      <c r="K38" s="2" t="s">
        <v>2</v>
      </c>
      <c r="L38" s="3">
        <v>2.1079512671590801</v>
      </c>
      <c r="M38" s="2" t="s">
        <v>33</v>
      </c>
      <c r="N38" s="2" t="s">
        <v>23</v>
      </c>
      <c r="O38" s="2">
        <v>671</v>
      </c>
      <c r="P38" s="2">
        <v>19</v>
      </c>
      <c r="Q38" s="3">
        <v>45.531364237162101</v>
      </c>
      <c r="R38" s="2" t="s">
        <v>19</v>
      </c>
      <c r="S38" s="4">
        <v>3.8055333792433501</v>
      </c>
      <c r="T38" s="2" t="s">
        <v>13</v>
      </c>
      <c r="U38" s="2" t="s">
        <v>14</v>
      </c>
      <c r="V38" s="3">
        <v>403.80897424817999</v>
      </c>
      <c r="W38" s="3">
        <f>[1]!Data[[#This Row],[Manufacturing costs]]+[1]!Data[[#This Row],[Shipping costs]]+[1]!Data[[#This Row],[Costs]]</f>
        <v>451.44828975250118</v>
      </c>
      <c r="X38" s="3">
        <f>[1]!Data[[#This Row],[Revenue generated]]- [1]!Data[[#This Row],[Total Cost]]</f>
        <v>7121.9541680962284</v>
      </c>
      <c r="Y38" s="5">
        <f>[1]!Data[[#This Row],[Profit]]/[1]!Data[[#This Row],[Revenue generated]]</f>
        <v>0.94039029455187073</v>
      </c>
      <c r="Z38" s="6" t="str">
        <f>IF([1]!Data[[#This Row],[Stock levels]]&lt;20,"Low Stock","Healthy")</f>
        <v>Low Stock</v>
      </c>
      <c r="AA38" s="6" t="str">
        <f>IF([1]!Data[[#This Row],[Defect rates]]&gt;3,"High Risk",
IF([1]!Data[[#This Row],[Defect rates]]&gt;1,"Medium Risk","Low Risk"))</f>
        <v>High Risk</v>
      </c>
      <c r="AB38" s="7">
        <f>IF([1]!Data[[#This Row],[Inspection results]]="Pass",1,
IF([1]!Data[[#This Row],[Inspection results]]="Pending",0.5,0))</f>
        <v>0</v>
      </c>
    </row>
    <row r="39" spans="1:28" x14ac:dyDescent="0.3">
      <c r="A39" s="8" t="s">
        <v>8</v>
      </c>
      <c r="B39" s="9" t="s">
        <v>63</v>
      </c>
      <c r="C39" s="10">
        <v>23.3998447526143</v>
      </c>
      <c r="D39" s="9">
        <v>5</v>
      </c>
      <c r="E39" s="9">
        <v>963</v>
      </c>
      <c r="F39" s="10">
        <v>2438.3399304700201</v>
      </c>
      <c r="G39" s="9">
        <v>25</v>
      </c>
      <c r="H39" s="9">
        <v>8</v>
      </c>
      <c r="I39" s="9">
        <v>21</v>
      </c>
      <c r="J39" s="9">
        <v>9</v>
      </c>
      <c r="K39" s="9" t="s">
        <v>10</v>
      </c>
      <c r="L39" s="10">
        <v>1.53265527359043</v>
      </c>
      <c r="M39" s="9" t="s">
        <v>3</v>
      </c>
      <c r="N39" s="9" t="s">
        <v>18</v>
      </c>
      <c r="O39" s="9">
        <v>867</v>
      </c>
      <c r="P39" s="9">
        <v>15</v>
      </c>
      <c r="Q39" s="10">
        <v>34.343277465075303</v>
      </c>
      <c r="R39" s="9" t="s">
        <v>5</v>
      </c>
      <c r="S39" s="11">
        <v>2.61028808484811</v>
      </c>
      <c r="T39" s="9" t="s">
        <v>28</v>
      </c>
      <c r="U39" s="9" t="s">
        <v>21</v>
      </c>
      <c r="V39" s="10">
        <v>183.932968043594</v>
      </c>
      <c r="W39" s="10">
        <f>[1]!Data[[#This Row],[Manufacturing costs]]+[1]!Data[[#This Row],[Shipping costs]]+[1]!Data[[#This Row],[Costs]]</f>
        <v>219.80890078225974</v>
      </c>
      <c r="X39" s="10">
        <f>[1]!Data[[#This Row],[Revenue generated]]- [1]!Data[[#This Row],[Total Cost]]</f>
        <v>2218.5310296877606</v>
      </c>
      <c r="Y39" s="12">
        <f>[1]!Data[[#This Row],[Profit]]/[1]!Data[[#This Row],[Revenue generated]]</f>
        <v>0.90985305287606533</v>
      </c>
      <c r="Z39" s="13" t="str">
        <f>IF([1]!Data[[#This Row],[Stock levels]]&lt;20,"Low Stock","Healthy")</f>
        <v>Healthy</v>
      </c>
      <c r="AA39" s="13" t="str">
        <f>IF([1]!Data[[#This Row],[Defect rates]]&gt;3,"High Risk",
IF([1]!Data[[#This Row],[Defect rates]]&gt;1,"Medium Risk","Low Risk"))</f>
        <v>Medium Risk</v>
      </c>
      <c r="AB39" s="14">
        <f>IF([1]!Data[[#This Row],[Inspection results]]="Pass",1,
IF([1]!Data[[#This Row],[Inspection results]]="Pending",0.5,0))</f>
        <v>0.5</v>
      </c>
    </row>
    <row r="40" spans="1:28" x14ac:dyDescent="0.3">
      <c r="A40" s="1" t="s">
        <v>29</v>
      </c>
      <c r="B40" s="2" t="s">
        <v>64</v>
      </c>
      <c r="C40" s="3">
        <v>52.075930682707799</v>
      </c>
      <c r="D40" s="2">
        <v>75</v>
      </c>
      <c r="E40" s="2">
        <v>705</v>
      </c>
      <c r="F40" s="3">
        <v>9692.3180402184298</v>
      </c>
      <c r="G40" s="2">
        <v>69</v>
      </c>
      <c r="H40" s="2">
        <v>1</v>
      </c>
      <c r="I40" s="2">
        <v>88</v>
      </c>
      <c r="J40" s="2">
        <v>5</v>
      </c>
      <c r="K40" s="2" t="s">
        <v>2</v>
      </c>
      <c r="L40" s="3">
        <v>9.2359314372492207</v>
      </c>
      <c r="M40" s="2" t="s">
        <v>17</v>
      </c>
      <c r="N40" s="2" t="s">
        <v>4</v>
      </c>
      <c r="O40" s="2">
        <v>841</v>
      </c>
      <c r="P40" s="2">
        <v>12</v>
      </c>
      <c r="Q40" s="3">
        <v>5.9306936455283097</v>
      </c>
      <c r="R40" s="2" t="s">
        <v>5</v>
      </c>
      <c r="S40" s="4">
        <v>0.613326899164507</v>
      </c>
      <c r="T40" s="2" t="s">
        <v>13</v>
      </c>
      <c r="U40" s="2" t="s">
        <v>7</v>
      </c>
      <c r="V40" s="3">
        <v>339.67286994860598</v>
      </c>
      <c r="W40" s="3">
        <f>[1]!Data[[#This Row],[Manufacturing costs]]+[1]!Data[[#This Row],[Shipping costs]]+[1]!Data[[#This Row],[Costs]]</f>
        <v>354.83949503138354</v>
      </c>
      <c r="X40" s="3">
        <f>[1]!Data[[#This Row],[Revenue generated]]- [1]!Data[[#This Row],[Total Cost]]</f>
        <v>9337.4785451870466</v>
      </c>
      <c r="Y40" s="5">
        <f>[1]!Data[[#This Row],[Profit]]/[1]!Data[[#This Row],[Revenue generated]]</f>
        <v>0.96338961499622988</v>
      </c>
      <c r="Z40" s="6" t="str">
        <f>IF([1]!Data[[#This Row],[Stock levels]]&lt;20,"Low Stock","Healthy")</f>
        <v>Healthy</v>
      </c>
      <c r="AA40" s="6" t="str">
        <f>IF([1]!Data[[#This Row],[Defect rates]]&gt;3,"High Risk",
IF([1]!Data[[#This Row],[Defect rates]]&gt;1,"Medium Risk","Low Risk"))</f>
        <v>Low Risk</v>
      </c>
      <c r="AB40" s="7">
        <f>IF([1]!Data[[#This Row],[Inspection results]]="Pass",1,
IF([1]!Data[[#This Row],[Inspection results]]="Pending",0.5,0))</f>
        <v>0.5</v>
      </c>
    </row>
    <row r="41" spans="1:28" x14ac:dyDescent="0.3">
      <c r="A41" s="8" t="s">
        <v>8</v>
      </c>
      <c r="B41" s="9" t="s">
        <v>65</v>
      </c>
      <c r="C41" s="10">
        <v>19.127477265823199</v>
      </c>
      <c r="D41" s="9">
        <v>26</v>
      </c>
      <c r="E41" s="9">
        <v>176</v>
      </c>
      <c r="F41" s="10">
        <v>1912.4656631007599</v>
      </c>
      <c r="G41" s="9">
        <v>78</v>
      </c>
      <c r="H41" s="9">
        <v>29</v>
      </c>
      <c r="I41" s="9">
        <v>34</v>
      </c>
      <c r="J41" s="9">
        <v>3</v>
      </c>
      <c r="K41" s="9" t="s">
        <v>10</v>
      </c>
      <c r="L41" s="10">
        <v>5.5625037788303802</v>
      </c>
      <c r="M41" s="9" t="s">
        <v>33</v>
      </c>
      <c r="N41" s="9" t="s">
        <v>18</v>
      </c>
      <c r="O41" s="9">
        <v>791</v>
      </c>
      <c r="P41" s="9">
        <v>6</v>
      </c>
      <c r="Q41" s="10">
        <v>9.0058074287816403</v>
      </c>
      <c r="R41" s="9" t="s">
        <v>19</v>
      </c>
      <c r="S41" s="11">
        <v>1.4519722039968099</v>
      </c>
      <c r="T41" s="9" t="s">
        <v>13</v>
      </c>
      <c r="U41" s="9" t="s">
        <v>7</v>
      </c>
      <c r="V41" s="10">
        <v>653.67299455203295</v>
      </c>
      <c r="W41" s="10">
        <f>[1]!Data[[#This Row],[Manufacturing costs]]+[1]!Data[[#This Row],[Shipping costs]]+[1]!Data[[#This Row],[Costs]]</f>
        <v>668.241305759645</v>
      </c>
      <c r="X41" s="10">
        <f>[1]!Data[[#This Row],[Revenue generated]]- [1]!Data[[#This Row],[Total Cost]]</f>
        <v>1244.2243573411149</v>
      </c>
      <c r="Y41" s="12">
        <f>[1]!Data[[#This Row],[Profit]]/[1]!Data[[#This Row],[Revenue generated]]</f>
        <v>0.6505865079552865</v>
      </c>
      <c r="Z41" s="13" t="str">
        <f>IF([1]!Data[[#This Row],[Stock levels]]&lt;20,"Low Stock","Healthy")</f>
        <v>Healthy</v>
      </c>
      <c r="AA41" s="13" t="str">
        <f>IF([1]!Data[[#This Row],[Defect rates]]&gt;3,"High Risk",
IF([1]!Data[[#This Row],[Defect rates]]&gt;1,"Medium Risk","Low Risk"))</f>
        <v>Medium Risk</v>
      </c>
      <c r="AB41" s="14">
        <f>IF([1]!Data[[#This Row],[Inspection results]]="Pass",1,
IF([1]!Data[[#This Row],[Inspection results]]="Pending",0.5,0))</f>
        <v>0</v>
      </c>
    </row>
    <row r="42" spans="1:28" x14ac:dyDescent="0.3">
      <c r="A42" s="1" t="s">
        <v>8</v>
      </c>
      <c r="B42" s="2" t="s">
        <v>66</v>
      </c>
      <c r="C42" s="3">
        <v>80.541424170940303</v>
      </c>
      <c r="D42" s="2">
        <v>97</v>
      </c>
      <c r="E42" s="2">
        <v>933</v>
      </c>
      <c r="F42" s="3">
        <v>5724.9593504562599</v>
      </c>
      <c r="G42" s="2">
        <v>90</v>
      </c>
      <c r="H42" s="2">
        <v>20</v>
      </c>
      <c r="I42" s="2">
        <v>39</v>
      </c>
      <c r="J42" s="2">
        <v>8</v>
      </c>
      <c r="K42" s="2" t="s">
        <v>16</v>
      </c>
      <c r="L42" s="3">
        <v>7.2295951397364702</v>
      </c>
      <c r="M42" s="2" t="s">
        <v>12</v>
      </c>
      <c r="N42" s="2" t="s">
        <v>18</v>
      </c>
      <c r="O42" s="2">
        <v>793</v>
      </c>
      <c r="P42" s="2">
        <v>1</v>
      </c>
      <c r="Q42" s="3">
        <v>88.179407104217404</v>
      </c>
      <c r="R42" s="2" t="s">
        <v>5</v>
      </c>
      <c r="S42" s="4">
        <v>4.2132694305865597</v>
      </c>
      <c r="T42" s="2" t="s">
        <v>6</v>
      </c>
      <c r="U42" s="2" t="s">
        <v>21</v>
      </c>
      <c r="V42" s="3">
        <v>529.80872398069096</v>
      </c>
      <c r="W42" s="3">
        <f>[1]!Data[[#This Row],[Manufacturing costs]]+[1]!Data[[#This Row],[Shipping costs]]+[1]!Data[[#This Row],[Costs]]</f>
        <v>625.21772622464482</v>
      </c>
      <c r="X42" s="3">
        <f>[1]!Data[[#This Row],[Revenue generated]]- [1]!Data[[#This Row],[Total Cost]]</f>
        <v>5099.7416242316149</v>
      </c>
      <c r="Y42" s="5">
        <f>[1]!Data[[#This Row],[Profit]]/[1]!Data[[#This Row],[Revenue generated]]</f>
        <v>0.89079088811786633</v>
      </c>
      <c r="Z42" s="6" t="str">
        <f>IF([1]!Data[[#This Row],[Stock levels]]&lt;20,"Low Stock","Healthy")</f>
        <v>Healthy</v>
      </c>
      <c r="AA42" s="6" t="str">
        <f>IF([1]!Data[[#This Row],[Defect rates]]&gt;3,"High Risk",
IF([1]!Data[[#This Row],[Defect rates]]&gt;1,"Medium Risk","Low Risk"))</f>
        <v>High Risk</v>
      </c>
      <c r="AB42" s="7">
        <f>IF([1]!Data[[#This Row],[Inspection results]]="Pass",1,
IF([1]!Data[[#This Row],[Inspection results]]="Pending",0.5,0))</f>
        <v>0.5</v>
      </c>
    </row>
    <row r="43" spans="1:28" x14ac:dyDescent="0.3">
      <c r="A43" s="8" t="s">
        <v>8</v>
      </c>
      <c r="B43" s="9" t="s">
        <v>67</v>
      </c>
      <c r="C43" s="10">
        <v>99.113291615317095</v>
      </c>
      <c r="D43" s="9">
        <v>35</v>
      </c>
      <c r="E43" s="9">
        <v>556</v>
      </c>
      <c r="F43" s="10">
        <v>5521.2052590109697</v>
      </c>
      <c r="G43" s="9">
        <v>64</v>
      </c>
      <c r="H43" s="9">
        <v>19</v>
      </c>
      <c r="I43" s="9">
        <v>38</v>
      </c>
      <c r="J43" s="9">
        <v>8</v>
      </c>
      <c r="K43" s="9" t="s">
        <v>2</v>
      </c>
      <c r="L43" s="10">
        <v>5.7732637437666501</v>
      </c>
      <c r="M43" s="9" t="s">
        <v>25</v>
      </c>
      <c r="N43" s="9" t="s">
        <v>34</v>
      </c>
      <c r="O43" s="9">
        <v>892</v>
      </c>
      <c r="P43" s="9">
        <v>7</v>
      </c>
      <c r="Q43" s="10">
        <v>95.332064548772493</v>
      </c>
      <c r="R43" s="9" t="s">
        <v>19</v>
      </c>
      <c r="S43" s="11">
        <v>4.5302262398259602E-2</v>
      </c>
      <c r="T43" s="9" t="s">
        <v>28</v>
      </c>
      <c r="U43" s="9" t="s">
        <v>21</v>
      </c>
      <c r="V43" s="10">
        <v>275.52437113130901</v>
      </c>
      <c r="W43" s="10">
        <f>[1]!Data[[#This Row],[Manufacturing costs]]+[1]!Data[[#This Row],[Shipping costs]]+[1]!Data[[#This Row],[Costs]]</f>
        <v>376.62969942384814</v>
      </c>
      <c r="X43" s="10">
        <f>[1]!Data[[#This Row],[Revenue generated]]- [1]!Data[[#This Row],[Total Cost]]</f>
        <v>5144.5755595871215</v>
      </c>
      <c r="Y43" s="12">
        <f>[1]!Data[[#This Row],[Profit]]/[1]!Data[[#This Row],[Revenue generated]]</f>
        <v>0.93178487635300933</v>
      </c>
      <c r="Z43" s="13" t="str">
        <f>IF([1]!Data[[#This Row],[Stock levels]]&lt;20,"Low Stock","Healthy")</f>
        <v>Healthy</v>
      </c>
      <c r="AA43" s="13" t="str">
        <f>IF([1]!Data[[#This Row],[Defect rates]]&gt;3,"High Risk",
IF([1]!Data[[#This Row],[Defect rates]]&gt;1,"Medium Risk","Low Risk"))</f>
        <v>Low Risk</v>
      </c>
      <c r="AB43" s="14">
        <f>IF([1]!Data[[#This Row],[Inspection results]]="Pass",1,
IF([1]!Data[[#This Row],[Inspection results]]="Pending",0.5,0))</f>
        <v>0</v>
      </c>
    </row>
    <row r="44" spans="1:28" x14ac:dyDescent="0.3">
      <c r="A44" s="1" t="s">
        <v>8</v>
      </c>
      <c r="B44" s="2" t="s">
        <v>68</v>
      </c>
      <c r="C44" s="3">
        <v>46.529167614516702</v>
      </c>
      <c r="D44" s="2">
        <v>98</v>
      </c>
      <c r="E44" s="2">
        <v>155</v>
      </c>
      <c r="F44" s="3">
        <v>1839.60942585676</v>
      </c>
      <c r="G44" s="2">
        <v>22</v>
      </c>
      <c r="H44" s="2">
        <v>27</v>
      </c>
      <c r="I44" s="2">
        <v>57</v>
      </c>
      <c r="J44" s="2">
        <v>4</v>
      </c>
      <c r="K44" s="2" t="s">
        <v>16</v>
      </c>
      <c r="L44" s="3">
        <v>7.5262483268515004</v>
      </c>
      <c r="M44" s="2" t="s">
        <v>17</v>
      </c>
      <c r="N44" s="2" t="s">
        <v>26</v>
      </c>
      <c r="O44" s="2">
        <v>179</v>
      </c>
      <c r="P44" s="2">
        <v>7</v>
      </c>
      <c r="Q44" s="3">
        <v>96.422820639571796</v>
      </c>
      <c r="R44" s="2" t="s">
        <v>19</v>
      </c>
      <c r="S44" s="4">
        <v>4.9392552886209398</v>
      </c>
      <c r="T44" s="2" t="s">
        <v>6</v>
      </c>
      <c r="U44" s="2" t="s">
        <v>21</v>
      </c>
      <c r="V44" s="3">
        <v>635.65712050199102</v>
      </c>
      <c r="W44" s="3">
        <f>[1]!Data[[#This Row],[Manufacturing costs]]+[1]!Data[[#This Row],[Shipping costs]]+[1]!Data[[#This Row],[Costs]]</f>
        <v>739.6061894684143</v>
      </c>
      <c r="X44" s="3">
        <f>[1]!Data[[#This Row],[Revenue generated]]- [1]!Data[[#This Row],[Total Cost]]</f>
        <v>1100.0032363883456</v>
      </c>
      <c r="Y44" s="5">
        <f>[1]!Data[[#This Row],[Profit]]/[1]!Data[[#This Row],[Revenue generated]]</f>
        <v>0.59795477285948451</v>
      </c>
      <c r="Z44" s="6" t="str">
        <f>IF([1]!Data[[#This Row],[Stock levels]]&lt;20,"Low Stock","Healthy")</f>
        <v>Healthy</v>
      </c>
      <c r="AA44" s="6" t="str">
        <f>IF([1]!Data[[#This Row],[Defect rates]]&gt;3,"High Risk",
IF([1]!Data[[#This Row],[Defect rates]]&gt;1,"Medium Risk","Low Risk"))</f>
        <v>High Risk</v>
      </c>
      <c r="AB44" s="7">
        <f>IF([1]!Data[[#This Row],[Inspection results]]="Pass",1,
IF([1]!Data[[#This Row],[Inspection results]]="Pending",0.5,0))</f>
        <v>0</v>
      </c>
    </row>
    <row r="45" spans="1:28" x14ac:dyDescent="0.3">
      <c r="A45" s="8" t="s">
        <v>0</v>
      </c>
      <c r="B45" s="9" t="s">
        <v>69</v>
      </c>
      <c r="C45" s="10">
        <v>11.7432717763092</v>
      </c>
      <c r="D45" s="9">
        <v>6</v>
      </c>
      <c r="E45" s="9">
        <v>598</v>
      </c>
      <c r="F45" s="10">
        <v>5737.4255991190203</v>
      </c>
      <c r="G45" s="9">
        <v>36</v>
      </c>
      <c r="H45" s="9">
        <v>29</v>
      </c>
      <c r="I45" s="9">
        <v>85</v>
      </c>
      <c r="J45" s="9">
        <v>9</v>
      </c>
      <c r="K45" s="9" t="s">
        <v>2</v>
      </c>
      <c r="L45" s="10">
        <v>3.6940212683884499</v>
      </c>
      <c r="M45" s="9" t="s">
        <v>17</v>
      </c>
      <c r="N45" s="9" t="s">
        <v>4</v>
      </c>
      <c r="O45" s="9">
        <v>206</v>
      </c>
      <c r="P45" s="9">
        <v>23</v>
      </c>
      <c r="Q45" s="10">
        <v>26.2773659573324</v>
      </c>
      <c r="R45" s="9" t="s">
        <v>5</v>
      </c>
      <c r="S45" s="11">
        <v>0.37230476798509698</v>
      </c>
      <c r="T45" s="9" t="s">
        <v>13</v>
      </c>
      <c r="U45" s="9" t="s">
        <v>21</v>
      </c>
      <c r="V45" s="10">
        <v>716.04411975933999</v>
      </c>
      <c r="W45" s="10">
        <f>[1]!Data[[#This Row],[Manufacturing costs]]+[1]!Data[[#This Row],[Shipping costs]]+[1]!Data[[#This Row],[Costs]]</f>
        <v>746.01550698506082</v>
      </c>
      <c r="X45" s="10">
        <f>[1]!Data[[#This Row],[Revenue generated]]- [1]!Data[[#This Row],[Total Cost]]</f>
        <v>4991.4100921339596</v>
      </c>
      <c r="Y45" s="12">
        <f>[1]!Data[[#This Row],[Profit]]/[1]!Data[[#This Row],[Revenue generated]]</f>
        <v>0.86997382465410777</v>
      </c>
      <c r="Z45" s="13" t="str">
        <f>IF([1]!Data[[#This Row],[Stock levels]]&lt;20,"Low Stock","Healthy")</f>
        <v>Healthy</v>
      </c>
      <c r="AA45" s="13" t="str">
        <f>IF([1]!Data[[#This Row],[Defect rates]]&gt;3,"High Risk",
IF([1]!Data[[#This Row],[Defect rates]]&gt;1,"Medium Risk","Low Risk"))</f>
        <v>Low Risk</v>
      </c>
      <c r="AB45" s="14">
        <f>IF([1]!Data[[#This Row],[Inspection results]]="Pass",1,
IF([1]!Data[[#This Row],[Inspection results]]="Pending",0.5,0))</f>
        <v>0.5</v>
      </c>
    </row>
    <row r="46" spans="1:28" x14ac:dyDescent="0.3">
      <c r="A46" s="1" t="s">
        <v>29</v>
      </c>
      <c r="B46" s="2" t="s">
        <v>70</v>
      </c>
      <c r="C46" s="3">
        <v>51.355790913110297</v>
      </c>
      <c r="D46" s="2">
        <v>34</v>
      </c>
      <c r="E46" s="2">
        <v>919</v>
      </c>
      <c r="F46" s="3">
        <v>7152.28604943551</v>
      </c>
      <c r="G46" s="2">
        <v>13</v>
      </c>
      <c r="H46" s="2">
        <v>19</v>
      </c>
      <c r="I46" s="2">
        <v>72</v>
      </c>
      <c r="J46" s="2">
        <v>6</v>
      </c>
      <c r="K46" s="2" t="s">
        <v>16</v>
      </c>
      <c r="L46" s="3">
        <v>7.5774496573766896</v>
      </c>
      <c r="M46" s="2" t="s">
        <v>33</v>
      </c>
      <c r="N46" s="2" t="s">
        <v>23</v>
      </c>
      <c r="O46" s="2">
        <v>834</v>
      </c>
      <c r="P46" s="2">
        <v>18</v>
      </c>
      <c r="Q46" s="3">
        <v>22.554106620887701</v>
      </c>
      <c r="R46" s="2" t="s">
        <v>19</v>
      </c>
      <c r="S46" s="4">
        <v>2.9626263204548802</v>
      </c>
      <c r="T46" s="2" t="s">
        <v>20</v>
      </c>
      <c r="U46" s="2" t="s">
        <v>21</v>
      </c>
      <c r="V46" s="3">
        <v>610.45326961922694</v>
      </c>
      <c r="W46" s="3">
        <f>[1]!Data[[#This Row],[Manufacturing costs]]+[1]!Data[[#This Row],[Shipping costs]]+[1]!Data[[#This Row],[Costs]]</f>
        <v>640.58482589749133</v>
      </c>
      <c r="X46" s="3">
        <f>[1]!Data[[#This Row],[Revenue generated]]- [1]!Data[[#This Row],[Total Cost]]</f>
        <v>6511.7012235380189</v>
      </c>
      <c r="Y46" s="5">
        <f>[1]!Data[[#This Row],[Profit]]/[1]!Data[[#This Row],[Revenue generated]]</f>
        <v>0.91043635259134403</v>
      </c>
      <c r="Z46" s="6" t="str">
        <f>IF([1]!Data[[#This Row],[Stock levels]]&lt;20,"Low Stock","Healthy")</f>
        <v>Low Stock</v>
      </c>
      <c r="AA46" s="6" t="str">
        <f>IF([1]!Data[[#This Row],[Defect rates]]&gt;3,"High Risk",
IF([1]!Data[[#This Row],[Defect rates]]&gt;1,"Medium Risk","Low Risk"))</f>
        <v>Medium Risk</v>
      </c>
      <c r="AB46" s="7">
        <f>IF([1]!Data[[#This Row],[Inspection results]]="Pass",1,
IF([1]!Data[[#This Row],[Inspection results]]="Pending",0.5,0))</f>
        <v>0</v>
      </c>
    </row>
    <row r="47" spans="1:28" x14ac:dyDescent="0.3">
      <c r="A47" s="8" t="s">
        <v>0</v>
      </c>
      <c r="B47" s="9" t="s">
        <v>71</v>
      </c>
      <c r="C47" s="10">
        <v>33.784138033065503</v>
      </c>
      <c r="D47" s="9">
        <v>1</v>
      </c>
      <c r="E47" s="9">
        <v>24</v>
      </c>
      <c r="F47" s="10">
        <v>5267.9568075105199</v>
      </c>
      <c r="G47" s="9">
        <v>93</v>
      </c>
      <c r="H47" s="9">
        <v>7</v>
      </c>
      <c r="I47" s="9">
        <v>52</v>
      </c>
      <c r="J47" s="9">
        <v>6</v>
      </c>
      <c r="K47" s="9" t="s">
        <v>2</v>
      </c>
      <c r="L47" s="10">
        <v>5.2151550087119096</v>
      </c>
      <c r="M47" s="9" t="s">
        <v>33</v>
      </c>
      <c r="N47" s="9" t="s">
        <v>34</v>
      </c>
      <c r="O47" s="9">
        <v>794</v>
      </c>
      <c r="P47" s="9">
        <v>25</v>
      </c>
      <c r="Q47" s="10">
        <v>66.312544439991598</v>
      </c>
      <c r="R47" s="9" t="s">
        <v>36</v>
      </c>
      <c r="S47" s="11">
        <v>3.2196046120841002</v>
      </c>
      <c r="T47" s="9" t="s">
        <v>20</v>
      </c>
      <c r="U47" s="9" t="s">
        <v>21</v>
      </c>
      <c r="V47" s="10">
        <v>495.30569702847299</v>
      </c>
      <c r="W47" s="10">
        <f>[1]!Data[[#This Row],[Manufacturing costs]]+[1]!Data[[#This Row],[Shipping costs]]+[1]!Data[[#This Row],[Costs]]</f>
        <v>566.83339647717651</v>
      </c>
      <c r="X47" s="10">
        <f>[1]!Data[[#This Row],[Revenue generated]]- [1]!Data[[#This Row],[Total Cost]]</f>
        <v>4701.1234110333435</v>
      </c>
      <c r="Y47" s="12">
        <f>[1]!Data[[#This Row],[Profit]]/[1]!Data[[#This Row],[Revenue generated]]</f>
        <v>0.89239976385739483</v>
      </c>
      <c r="Z47" s="13" t="str">
        <f>IF([1]!Data[[#This Row],[Stock levels]]&lt;20,"Low Stock","Healthy")</f>
        <v>Healthy</v>
      </c>
      <c r="AA47" s="13" t="str">
        <f>IF([1]!Data[[#This Row],[Defect rates]]&gt;3,"High Risk",
IF([1]!Data[[#This Row],[Defect rates]]&gt;1,"Medium Risk","Low Risk"))</f>
        <v>High Risk</v>
      </c>
      <c r="AB47" s="14">
        <f>IF([1]!Data[[#This Row],[Inspection results]]="Pass",1,
IF([1]!Data[[#This Row],[Inspection results]]="Pending",0.5,0))</f>
        <v>1</v>
      </c>
    </row>
    <row r="48" spans="1:28" x14ac:dyDescent="0.3">
      <c r="A48" s="1" t="s">
        <v>0</v>
      </c>
      <c r="B48" s="2" t="s">
        <v>72</v>
      </c>
      <c r="C48" s="3">
        <v>27.082207199888899</v>
      </c>
      <c r="D48" s="2">
        <v>75</v>
      </c>
      <c r="E48" s="2">
        <v>859</v>
      </c>
      <c r="F48" s="3">
        <v>2556.7673606335902</v>
      </c>
      <c r="G48" s="2">
        <v>92</v>
      </c>
      <c r="H48" s="2">
        <v>29</v>
      </c>
      <c r="I48" s="2">
        <v>6</v>
      </c>
      <c r="J48" s="2">
        <v>8</v>
      </c>
      <c r="K48" s="2" t="s">
        <v>2</v>
      </c>
      <c r="L48" s="3">
        <v>4.0709558370840799</v>
      </c>
      <c r="M48" s="2" t="s">
        <v>3</v>
      </c>
      <c r="N48" s="2" t="s">
        <v>34</v>
      </c>
      <c r="O48" s="2">
        <v>870</v>
      </c>
      <c r="P48" s="2">
        <v>23</v>
      </c>
      <c r="Q48" s="3">
        <v>77.322353211051606</v>
      </c>
      <c r="R48" s="2" t="s">
        <v>5</v>
      </c>
      <c r="S48" s="4">
        <v>3.6486105925361998</v>
      </c>
      <c r="T48" s="2" t="s">
        <v>6</v>
      </c>
      <c r="U48" s="2" t="s">
        <v>7</v>
      </c>
      <c r="V48" s="3">
        <v>380.43593711196399</v>
      </c>
      <c r="W48" s="3">
        <f>[1]!Data[[#This Row],[Manufacturing costs]]+[1]!Data[[#This Row],[Shipping costs]]+[1]!Data[[#This Row],[Costs]]</f>
        <v>461.82924616009967</v>
      </c>
      <c r="X48" s="3">
        <f>[1]!Data[[#This Row],[Revenue generated]]- [1]!Data[[#This Row],[Total Cost]]</f>
        <v>2094.9381144734907</v>
      </c>
      <c r="Y48" s="5">
        <f>[1]!Data[[#This Row],[Profit]]/[1]!Data[[#This Row],[Revenue generated]]</f>
        <v>0.81936986005419987</v>
      </c>
      <c r="Z48" s="6" t="str">
        <f>IF([1]!Data[[#This Row],[Stock levels]]&lt;20,"Low Stock","Healthy")</f>
        <v>Healthy</v>
      </c>
      <c r="AA48" s="6" t="str">
        <f>IF([1]!Data[[#This Row],[Defect rates]]&gt;3,"High Risk",
IF([1]!Data[[#This Row],[Defect rates]]&gt;1,"Medium Risk","Low Risk"))</f>
        <v>High Risk</v>
      </c>
      <c r="AB48" s="7">
        <f>IF([1]!Data[[#This Row],[Inspection results]]="Pass",1,
IF([1]!Data[[#This Row],[Inspection results]]="Pending",0.5,0))</f>
        <v>0.5</v>
      </c>
    </row>
    <row r="49" spans="1:28" x14ac:dyDescent="0.3">
      <c r="A49" s="8" t="s">
        <v>8</v>
      </c>
      <c r="B49" s="9" t="s">
        <v>73</v>
      </c>
      <c r="C49" s="10">
        <v>95.712135880936003</v>
      </c>
      <c r="D49" s="9">
        <v>93</v>
      </c>
      <c r="E49" s="9">
        <v>910</v>
      </c>
      <c r="F49" s="10">
        <v>7089.4742499341801</v>
      </c>
      <c r="G49" s="9">
        <v>4</v>
      </c>
      <c r="H49" s="9">
        <v>15</v>
      </c>
      <c r="I49" s="9">
        <v>51</v>
      </c>
      <c r="J49" s="9">
        <v>9</v>
      </c>
      <c r="K49" s="9" t="s">
        <v>2</v>
      </c>
      <c r="L49" s="10">
        <v>8.9787507559499709</v>
      </c>
      <c r="M49" s="9" t="s">
        <v>12</v>
      </c>
      <c r="N49" s="9" t="s">
        <v>18</v>
      </c>
      <c r="O49" s="9">
        <v>964</v>
      </c>
      <c r="P49" s="9">
        <v>20</v>
      </c>
      <c r="Q49" s="10">
        <v>19.7129929112936</v>
      </c>
      <c r="R49" s="9" t="s">
        <v>5</v>
      </c>
      <c r="S49" s="11">
        <v>0.38057358671321301</v>
      </c>
      <c r="T49" s="9" t="s">
        <v>20</v>
      </c>
      <c r="U49" s="9" t="s">
        <v>21</v>
      </c>
      <c r="V49" s="10">
        <v>581.60235505058597</v>
      </c>
      <c r="W49" s="10">
        <f>[1]!Data[[#This Row],[Manufacturing costs]]+[1]!Data[[#This Row],[Shipping costs]]+[1]!Data[[#This Row],[Costs]]</f>
        <v>610.29409871782957</v>
      </c>
      <c r="X49" s="10">
        <f>[1]!Data[[#This Row],[Revenue generated]]- [1]!Data[[#This Row],[Total Cost]]</f>
        <v>6479.1801512163502</v>
      </c>
      <c r="Y49" s="12">
        <f>[1]!Data[[#This Row],[Profit]]/[1]!Data[[#This Row],[Revenue generated]]</f>
        <v>0.91391546436274929</v>
      </c>
      <c r="Z49" s="13" t="str">
        <f>IF([1]!Data[[#This Row],[Stock levels]]&lt;20,"Low Stock","Healthy")</f>
        <v>Low Stock</v>
      </c>
      <c r="AA49" s="13" t="str">
        <f>IF([1]!Data[[#This Row],[Defect rates]]&gt;3,"High Risk",
IF([1]!Data[[#This Row],[Defect rates]]&gt;1,"Medium Risk","Low Risk"))</f>
        <v>Low Risk</v>
      </c>
      <c r="AB49" s="14">
        <f>IF([1]!Data[[#This Row],[Inspection results]]="Pass",1,
IF([1]!Data[[#This Row],[Inspection results]]="Pending",0.5,0))</f>
        <v>0.5</v>
      </c>
    </row>
    <row r="50" spans="1:28" x14ac:dyDescent="0.3">
      <c r="A50" s="1" t="s">
        <v>0</v>
      </c>
      <c r="B50" s="2" t="s">
        <v>74</v>
      </c>
      <c r="C50" s="3">
        <v>76.035544426891704</v>
      </c>
      <c r="D50" s="2">
        <v>28</v>
      </c>
      <c r="E50" s="2">
        <v>29</v>
      </c>
      <c r="F50" s="3">
        <v>7397.0710045871801</v>
      </c>
      <c r="G50" s="2">
        <v>30</v>
      </c>
      <c r="H50" s="2">
        <v>16</v>
      </c>
      <c r="I50" s="2">
        <v>9</v>
      </c>
      <c r="J50" s="2">
        <v>3</v>
      </c>
      <c r="K50" s="2" t="s">
        <v>16</v>
      </c>
      <c r="L50" s="3">
        <v>7.0958331565551296</v>
      </c>
      <c r="M50" s="2" t="s">
        <v>33</v>
      </c>
      <c r="N50" s="2" t="s">
        <v>4</v>
      </c>
      <c r="O50" s="2">
        <v>109</v>
      </c>
      <c r="P50" s="2">
        <v>18</v>
      </c>
      <c r="Q50" s="3">
        <v>23.126363582464698</v>
      </c>
      <c r="R50" s="2" t="s">
        <v>19</v>
      </c>
      <c r="S50" s="4">
        <v>1.6981125407144</v>
      </c>
      <c r="T50" s="2" t="s">
        <v>20</v>
      </c>
      <c r="U50" s="2" t="s">
        <v>7</v>
      </c>
      <c r="V50" s="3">
        <v>768.65191395437</v>
      </c>
      <c r="W50" s="3">
        <f>[1]!Data[[#This Row],[Manufacturing costs]]+[1]!Data[[#This Row],[Shipping costs]]+[1]!Data[[#This Row],[Costs]]</f>
        <v>798.87411069338987</v>
      </c>
      <c r="X50" s="3">
        <f>[1]!Data[[#This Row],[Revenue generated]]- [1]!Data[[#This Row],[Total Cost]]</f>
        <v>6598.1968938937898</v>
      </c>
      <c r="Y50" s="5">
        <f>[1]!Data[[#This Row],[Profit]]/[1]!Data[[#This Row],[Revenue generated]]</f>
        <v>0.89200129210629708</v>
      </c>
      <c r="Z50" s="6" t="str">
        <f>IF([1]!Data[[#This Row],[Stock levels]]&lt;20,"Low Stock","Healthy")</f>
        <v>Healthy</v>
      </c>
      <c r="AA50" s="6" t="str">
        <f>IF([1]!Data[[#This Row],[Defect rates]]&gt;3,"High Risk",
IF([1]!Data[[#This Row],[Defect rates]]&gt;1,"Medium Risk","Low Risk"))</f>
        <v>Medium Risk</v>
      </c>
      <c r="AB50" s="7">
        <f>IF([1]!Data[[#This Row],[Inspection results]]="Pass",1,
IF([1]!Data[[#This Row],[Inspection results]]="Pending",0.5,0))</f>
        <v>0</v>
      </c>
    </row>
    <row r="51" spans="1:28" x14ac:dyDescent="0.3">
      <c r="A51" s="8" t="s">
        <v>29</v>
      </c>
      <c r="B51" s="9" t="s">
        <v>75</v>
      </c>
      <c r="C51" s="10">
        <v>78.897913205639995</v>
      </c>
      <c r="D51" s="9">
        <v>19</v>
      </c>
      <c r="E51" s="9">
        <v>99</v>
      </c>
      <c r="F51" s="10">
        <v>8001.6132065190004</v>
      </c>
      <c r="G51" s="9">
        <v>97</v>
      </c>
      <c r="H51" s="9">
        <v>24</v>
      </c>
      <c r="I51" s="9">
        <v>9</v>
      </c>
      <c r="J51" s="9">
        <v>6</v>
      </c>
      <c r="K51" s="9" t="s">
        <v>16</v>
      </c>
      <c r="L51" s="10">
        <v>2.5056210329009101</v>
      </c>
      <c r="M51" s="9" t="s">
        <v>17</v>
      </c>
      <c r="N51" s="9" t="s">
        <v>23</v>
      </c>
      <c r="O51" s="9">
        <v>177</v>
      </c>
      <c r="P51" s="9">
        <v>28</v>
      </c>
      <c r="Q51" s="10">
        <v>14.1478154439792</v>
      </c>
      <c r="R51" s="9" t="s">
        <v>36</v>
      </c>
      <c r="S51" s="11">
        <v>2.8258139854001301</v>
      </c>
      <c r="T51" s="9" t="s">
        <v>20</v>
      </c>
      <c r="U51" s="9" t="s">
        <v>21</v>
      </c>
      <c r="V51" s="10">
        <v>336.89016851997701</v>
      </c>
      <c r="W51" s="10">
        <f>[1]!Data[[#This Row],[Manufacturing costs]]+[1]!Data[[#This Row],[Shipping costs]]+[1]!Data[[#This Row],[Costs]]</f>
        <v>353.54360499685714</v>
      </c>
      <c r="X51" s="10">
        <f>[1]!Data[[#This Row],[Revenue generated]]- [1]!Data[[#This Row],[Total Cost]]</f>
        <v>7648.0696015221429</v>
      </c>
      <c r="Y51" s="12">
        <f>[1]!Data[[#This Row],[Profit]]/[1]!Data[[#This Row],[Revenue generated]]</f>
        <v>0.95581595912324013</v>
      </c>
      <c r="Z51" s="13" t="str">
        <f>IF([1]!Data[[#This Row],[Stock levels]]&lt;20,"Low Stock","Healthy")</f>
        <v>Healthy</v>
      </c>
      <c r="AA51" s="13" t="str">
        <f>IF([1]!Data[[#This Row],[Defect rates]]&gt;3,"High Risk",
IF([1]!Data[[#This Row],[Defect rates]]&gt;1,"Medium Risk","Low Risk"))</f>
        <v>Medium Risk</v>
      </c>
      <c r="AB51" s="14">
        <f>IF([1]!Data[[#This Row],[Inspection results]]="Pass",1,
IF([1]!Data[[#This Row],[Inspection results]]="Pending",0.5,0))</f>
        <v>1</v>
      </c>
    </row>
    <row r="52" spans="1:28" x14ac:dyDescent="0.3">
      <c r="A52" s="1" t="s">
        <v>29</v>
      </c>
      <c r="B52" s="2" t="s">
        <v>76</v>
      </c>
      <c r="C52" s="3">
        <v>14.203484264803</v>
      </c>
      <c r="D52" s="2">
        <v>91</v>
      </c>
      <c r="E52" s="2">
        <v>633</v>
      </c>
      <c r="F52" s="3">
        <v>5910.8853896688897</v>
      </c>
      <c r="G52" s="2">
        <v>31</v>
      </c>
      <c r="H52" s="2">
        <v>23</v>
      </c>
      <c r="I52" s="2">
        <v>82</v>
      </c>
      <c r="J52" s="2">
        <v>10</v>
      </c>
      <c r="K52" s="2" t="s">
        <v>10</v>
      </c>
      <c r="L52" s="3">
        <v>6.2478609149759903</v>
      </c>
      <c r="M52" s="2" t="s">
        <v>33</v>
      </c>
      <c r="N52" s="2" t="s">
        <v>23</v>
      </c>
      <c r="O52" s="2">
        <v>306</v>
      </c>
      <c r="P52" s="2">
        <v>21</v>
      </c>
      <c r="Q52" s="3">
        <v>45.178757924634503</v>
      </c>
      <c r="R52" s="2" t="s">
        <v>19</v>
      </c>
      <c r="S52" s="4">
        <v>4.7548008046711798</v>
      </c>
      <c r="T52" s="2" t="s">
        <v>20</v>
      </c>
      <c r="U52" s="2" t="s">
        <v>7</v>
      </c>
      <c r="V52" s="3">
        <v>496.24865029194001</v>
      </c>
      <c r="W52" s="3">
        <f>[1]!Data[[#This Row],[Manufacturing costs]]+[1]!Data[[#This Row],[Shipping costs]]+[1]!Data[[#This Row],[Costs]]</f>
        <v>547.67526913155052</v>
      </c>
      <c r="X52" s="3">
        <f>[1]!Data[[#This Row],[Revenue generated]]- [1]!Data[[#This Row],[Total Cost]]</f>
        <v>5363.2101205373392</v>
      </c>
      <c r="Y52" s="5">
        <f>[1]!Data[[#This Row],[Profit]]/[1]!Data[[#This Row],[Revenue generated]]</f>
        <v>0.90734463062187209</v>
      </c>
      <c r="Z52" s="6" t="str">
        <f>IF([1]!Data[[#This Row],[Stock levels]]&lt;20,"Low Stock","Healthy")</f>
        <v>Healthy</v>
      </c>
      <c r="AA52" s="6" t="str">
        <f>IF([1]!Data[[#This Row],[Defect rates]]&gt;3,"High Risk",
IF([1]!Data[[#This Row],[Defect rates]]&gt;1,"Medium Risk","Low Risk"))</f>
        <v>High Risk</v>
      </c>
      <c r="AB52" s="7">
        <f>IF([1]!Data[[#This Row],[Inspection results]]="Pass",1,
IF([1]!Data[[#This Row],[Inspection results]]="Pending",0.5,0))</f>
        <v>0</v>
      </c>
    </row>
    <row r="53" spans="1:28" x14ac:dyDescent="0.3">
      <c r="A53" s="8" t="s">
        <v>0</v>
      </c>
      <c r="B53" s="9" t="s">
        <v>77</v>
      </c>
      <c r="C53" s="10">
        <v>26.700760972461701</v>
      </c>
      <c r="D53" s="9">
        <v>61</v>
      </c>
      <c r="E53" s="9">
        <v>154</v>
      </c>
      <c r="F53" s="10">
        <v>9866.4654579796897</v>
      </c>
      <c r="G53" s="9">
        <v>100</v>
      </c>
      <c r="H53" s="9">
        <v>4</v>
      </c>
      <c r="I53" s="9">
        <v>52</v>
      </c>
      <c r="J53" s="9">
        <v>1</v>
      </c>
      <c r="K53" s="9" t="s">
        <v>10</v>
      </c>
      <c r="L53" s="10">
        <v>4.78300055794766</v>
      </c>
      <c r="M53" s="9" t="s">
        <v>17</v>
      </c>
      <c r="N53" s="9" t="s">
        <v>26</v>
      </c>
      <c r="O53" s="9">
        <v>673</v>
      </c>
      <c r="P53" s="9">
        <v>28</v>
      </c>
      <c r="Q53" s="10">
        <v>14.190328344569901</v>
      </c>
      <c r="R53" s="9" t="s">
        <v>5</v>
      </c>
      <c r="S53" s="11">
        <v>1.77295117208355</v>
      </c>
      <c r="T53" s="9" t="s">
        <v>6</v>
      </c>
      <c r="U53" s="9" t="s">
        <v>21</v>
      </c>
      <c r="V53" s="10">
        <v>694.98231757944495</v>
      </c>
      <c r="W53" s="10">
        <f>[1]!Data[[#This Row],[Manufacturing costs]]+[1]!Data[[#This Row],[Shipping costs]]+[1]!Data[[#This Row],[Costs]]</f>
        <v>713.9556464819625</v>
      </c>
      <c r="X53" s="10">
        <f>[1]!Data[[#This Row],[Revenue generated]]- [1]!Data[[#This Row],[Total Cost]]</f>
        <v>9152.5098114977263</v>
      </c>
      <c r="Y53" s="12">
        <f>[1]!Data[[#This Row],[Profit]]/[1]!Data[[#This Row],[Revenue generated]]</f>
        <v>0.92763815476549016</v>
      </c>
      <c r="Z53" s="13" t="str">
        <f>IF([1]!Data[[#This Row],[Stock levels]]&lt;20,"Low Stock","Healthy")</f>
        <v>Healthy</v>
      </c>
      <c r="AA53" s="13" t="str">
        <f>IF([1]!Data[[#This Row],[Defect rates]]&gt;3,"High Risk",
IF([1]!Data[[#This Row],[Defect rates]]&gt;1,"Medium Risk","Low Risk"))</f>
        <v>Medium Risk</v>
      </c>
      <c r="AB53" s="14">
        <f>IF([1]!Data[[#This Row],[Inspection results]]="Pass",1,
IF([1]!Data[[#This Row],[Inspection results]]="Pending",0.5,0))</f>
        <v>0.5</v>
      </c>
    </row>
    <row r="54" spans="1:28" x14ac:dyDescent="0.3">
      <c r="A54" s="1" t="s">
        <v>8</v>
      </c>
      <c r="B54" s="2" t="s">
        <v>78</v>
      </c>
      <c r="C54" s="3">
        <v>98.031829656465007</v>
      </c>
      <c r="D54" s="2">
        <v>1</v>
      </c>
      <c r="E54" s="2">
        <v>820</v>
      </c>
      <c r="F54" s="3">
        <v>9435.7626089121295</v>
      </c>
      <c r="G54" s="2">
        <v>64</v>
      </c>
      <c r="H54" s="2">
        <v>11</v>
      </c>
      <c r="I54" s="2">
        <v>11</v>
      </c>
      <c r="J54" s="2">
        <v>1</v>
      </c>
      <c r="K54" s="2" t="s">
        <v>2</v>
      </c>
      <c r="L54" s="3">
        <v>8.6310521797689397</v>
      </c>
      <c r="M54" s="2" t="s">
        <v>12</v>
      </c>
      <c r="N54" s="2" t="s">
        <v>4</v>
      </c>
      <c r="O54" s="2">
        <v>727</v>
      </c>
      <c r="P54" s="2">
        <v>27</v>
      </c>
      <c r="Q54" s="3">
        <v>9.1668491485971497</v>
      </c>
      <c r="R54" s="2" t="s">
        <v>5</v>
      </c>
      <c r="S54" s="4">
        <v>2.1224716191438202</v>
      </c>
      <c r="T54" s="2" t="s">
        <v>13</v>
      </c>
      <c r="U54" s="2" t="s">
        <v>14</v>
      </c>
      <c r="V54" s="3">
        <v>602.89849883838303</v>
      </c>
      <c r="W54" s="3">
        <f>[1]!Data[[#This Row],[Manufacturing costs]]+[1]!Data[[#This Row],[Shipping costs]]+[1]!Data[[#This Row],[Costs]]</f>
        <v>620.69640016674907</v>
      </c>
      <c r="X54" s="3">
        <f>[1]!Data[[#This Row],[Revenue generated]]- [1]!Data[[#This Row],[Total Cost]]</f>
        <v>8815.0662087453802</v>
      </c>
      <c r="Y54" s="5">
        <f>[1]!Data[[#This Row],[Profit]]/[1]!Data[[#This Row],[Revenue generated]]</f>
        <v>0.93421873505163233</v>
      </c>
      <c r="Z54" s="6" t="str">
        <f>IF([1]!Data[[#This Row],[Stock levels]]&lt;20,"Low Stock","Healthy")</f>
        <v>Healthy</v>
      </c>
      <c r="AA54" s="6" t="str">
        <f>IF([1]!Data[[#This Row],[Defect rates]]&gt;3,"High Risk",
IF([1]!Data[[#This Row],[Defect rates]]&gt;1,"Medium Risk","Low Risk"))</f>
        <v>Medium Risk</v>
      </c>
      <c r="AB54" s="7">
        <f>IF([1]!Data[[#This Row],[Inspection results]]="Pass",1,
IF([1]!Data[[#This Row],[Inspection results]]="Pending",0.5,0))</f>
        <v>0.5</v>
      </c>
    </row>
    <row r="55" spans="1:28" x14ac:dyDescent="0.3">
      <c r="A55" s="8" t="s">
        <v>8</v>
      </c>
      <c r="B55" s="9" t="s">
        <v>79</v>
      </c>
      <c r="C55" s="10">
        <v>30.3414707112142</v>
      </c>
      <c r="D55" s="9">
        <v>93</v>
      </c>
      <c r="E55" s="9">
        <v>242</v>
      </c>
      <c r="F55" s="10">
        <v>8232.3348294258194</v>
      </c>
      <c r="G55" s="9">
        <v>96</v>
      </c>
      <c r="H55" s="9">
        <v>25</v>
      </c>
      <c r="I55" s="9">
        <v>54</v>
      </c>
      <c r="J55" s="9">
        <v>3</v>
      </c>
      <c r="K55" s="9" t="s">
        <v>2</v>
      </c>
      <c r="L55" s="10">
        <v>1.0134865660958901</v>
      </c>
      <c r="M55" s="9" t="s">
        <v>12</v>
      </c>
      <c r="N55" s="9" t="s">
        <v>23</v>
      </c>
      <c r="O55" s="9">
        <v>631</v>
      </c>
      <c r="P55" s="9">
        <v>17</v>
      </c>
      <c r="Q55" s="10">
        <v>83.344058991677898</v>
      </c>
      <c r="R55" s="9" t="s">
        <v>5</v>
      </c>
      <c r="S55" s="11">
        <v>1.41034757607602</v>
      </c>
      <c r="T55" s="9" t="s">
        <v>13</v>
      </c>
      <c r="U55" s="9" t="s">
        <v>7</v>
      </c>
      <c r="V55" s="10">
        <v>750.73784066827</v>
      </c>
      <c r="W55" s="10">
        <f>[1]!Data[[#This Row],[Manufacturing costs]]+[1]!Data[[#This Row],[Shipping costs]]+[1]!Data[[#This Row],[Costs]]</f>
        <v>835.09538622604373</v>
      </c>
      <c r="X55" s="10">
        <f>[1]!Data[[#This Row],[Revenue generated]]- [1]!Data[[#This Row],[Total Cost]]</f>
        <v>7397.2394431997755</v>
      </c>
      <c r="Y55" s="12">
        <f>[1]!Data[[#This Row],[Profit]]/[1]!Data[[#This Row],[Revenue generated]]</f>
        <v>0.89855910825674112</v>
      </c>
      <c r="Z55" s="13" t="str">
        <f>IF([1]!Data[[#This Row],[Stock levels]]&lt;20,"Low Stock","Healthy")</f>
        <v>Healthy</v>
      </c>
      <c r="AA55" s="13" t="str">
        <f>IF([1]!Data[[#This Row],[Defect rates]]&gt;3,"High Risk",
IF([1]!Data[[#This Row],[Defect rates]]&gt;1,"Medium Risk","Low Risk"))</f>
        <v>Medium Risk</v>
      </c>
      <c r="AB55" s="14">
        <f>IF([1]!Data[[#This Row],[Inspection results]]="Pass",1,
IF([1]!Data[[#This Row],[Inspection results]]="Pending",0.5,0))</f>
        <v>0.5</v>
      </c>
    </row>
    <row r="56" spans="1:28" x14ac:dyDescent="0.3">
      <c r="A56" s="1" t="s">
        <v>0</v>
      </c>
      <c r="B56" s="2" t="s">
        <v>80</v>
      </c>
      <c r="C56" s="3">
        <v>31.1462431602408</v>
      </c>
      <c r="D56" s="2">
        <v>11</v>
      </c>
      <c r="E56" s="2">
        <v>622</v>
      </c>
      <c r="F56" s="3">
        <v>6088.0214799408504</v>
      </c>
      <c r="G56" s="2">
        <v>33</v>
      </c>
      <c r="H56" s="2">
        <v>22</v>
      </c>
      <c r="I56" s="2">
        <v>61</v>
      </c>
      <c r="J56" s="2">
        <v>3</v>
      </c>
      <c r="K56" s="2" t="s">
        <v>2</v>
      </c>
      <c r="L56" s="3">
        <v>4.3051034712876302</v>
      </c>
      <c r="M56" s="2" t="s">
        <v>12</v>
      </c>
      <c r="N56" s="2" t="s">
        <v>18</v>
      </c>
      <c r="O56" s="2">
        <v>497</v>
      </c>
      <c r="P56" s="2">
        <v>29</v>
      </c>
      <c r="Q56" s="3">
        <v>30.186023375822501</v>
      </c>
      <c r="R56" s="2" t="s">
        <v>36</v>
      </c>
      <c r="S56" s="4">
        <v>2.4787719755397402</v>
      </c>
      <c r="T56" s="2" t="s">
        <v>6</v>
      </c>
      <c r="U56" s="2" t="s">
        <v>7</v>
      </c>
      <c r="V56" s="3">
        <v>814.06999658218695</v>
      </c>
      <c r="W56" s="3">
        <f>[1]!Data[[#This Row],[Manufacturing costs]]+[1]!Data[[#This Row],[Shipping costs]]+[1]!Data[[#This Row],[Costs]]</f>
        <v>848.56112342929703</v>
      </c>
      <c r="X56" s="3">
        <f>[1]!Data[[#This Row],[Revenue generated]]- [1]!Data[[#This Row],[Total Cost]]</f>
        <v>5239.4603565115531</v>
      </c>
      <c r="Y56" s="5">
        <f>[1]!Data[[#This Row],[Profit]]/[1]!Data[[#This Row],[Revenue generated]]</f>
        <v>0.86061791565204171</v>
      </c>
      <c r="Z56" s="6" t="str">
        <f>IF([1]!Data[[#This Row],[Stock levels]]&lt;20,"Low Stock","Healthy")</f>
        <v>Healthy</v>
      </c>
      <c r="AA56" s="6" t="str">
        <f>IF([1]!Data[[#This Row],[Defect rates]]&gt;3,"High Risk",
IF([1]!Data[[#This Row],[Defect rates]]&gt;1,"Medium Risk","Low Risk"))</f>
        <v>Medium Risk</v>
      </c>
      <c r="AB56" s="7">
        <f>IF([1]!Data[[#This Row],[Inspection results]]="Pass",1,
IF([1]!Data[[#This Row],[Inspection results]]="Pending",0.5,0))</f>
        <v>1</v>
      </c>
    </row>
    <row r="57" spans="1:28" x14ac:dyDescent="0.3">
      <c r="A57" s="8" t="s">
        <v>0</v>
      </c>
      <c r="B57" s="9" t="s">
        <v>81</v>
      </c>
      <c r="C57" s="10">
        <v>79.855058340789398</v>
      </c>
      <c r="D57" s="9">
        <v>16</v>
      </c>
      <c r="E57" s="9">
        <v>701</v>
      </c>
      <c r="F57" s="10">
        <v>2925.6751703038099</v>
      </c>
      <c r="G57" s="9">
        <v>97</v>
      </c>
      <c r="H57" s="9">
        <v>11</v>
      </c>
      <c r="I57" s="9">
        <v>11</v>
      </c>
      <c r="J57" s="9">
        <v>5</v>
      </c>
      <c r="K57" s="9" t="s">
        <v>10</v>
      </c>
      <c r="L57" s="10">
        <v>5.0143649550309002</v>
      </c>
      <c r="M57" s="9" t="s">
        <v>33</v>
      </c>
      <c r="N57" s="9" t="s">
        <v>23</v>
      </c>
      <c r="O57" s="9">
        <v>918</v>
      </c>
      <c r="P57" s="9">
        <v>5</v>
      </c>
      <c r="Q57" s="10">
        <v>30.323545256616502</v>
      </c>
      <c r="R57" s="9" t="s">
        <v>19</v>
      </c>
      <c r="S57" s="11">
        <v>4.5489196593963799</v>
      </c>
      <c r="T57" s="9" t="s">
        <v>28</v>
      </c>
      <c r="U57" s="9" t="s">
        <v>7</v>
      </c>
      <c r="V57" s="10">
        <v>323.01292795247798</v>
      </c>
      <c r="W57" s="10">
        <f>[1]!Data[[#This Row],[Manufacturing costs]]+[1]!Data[[#This Row],[Shipping costs]]+[1]!Data[[#This Row],[Costs]]</f>
        <v>358.35083816412538</v>
      </c>
      <c r="X57" s="10">
        <f>[1]!Data[[#This Row],[Revenue generated]]- [1]!Data[[#This Row],[Total Cost]]</f>
        <v>2567.3243321396844</v>
      </c>
      <c r="Y57" s="12">
        <f>[1]!Data[[#This Row],[Profit]]/[1]!Data[[#This Row],[Revenue generated]]</f>
        <v>0.87751516579781019</v>
      </c>
      <c r="Z57" s="13" t="str">
        <f>IF([1]!Data[[#This Row],[Stock levels]]&lt;20,"Low Stock","Healthy")</f>
        <v>Healthy</v>
      </c>
      <c r="AA57" s="13" t="str">
        <f>IF([1]!Data[[#This Row],[Defect rates]]&gt;3,"High Risk",
IF([1]!Data[[#This Row],[Defect rates]]&gt;1,"Medium Risk","Low Risk"))</f>
        <v>High Risk</v>
      </c>
      <c r="AB57" s="14">
        <f>IF([1]!Data[[#This Row],[Inspection results]]="Pass",1,
IF([1]!Data[[#This Row],[Inspection results]]="Pending",0.5,0))</f>
        <v>0</v>
      </c>
    </row>
    <row r="58" spans="1:28" x14ac:dyDescent="0.3">
      <c r="A58" s="1" t="s">
        <v>8</v>
      </c>
      <c r="B58" s="2" t="s">
        <v>82</v>
      </c>
      <c r="C58" s="3">
        <v>20.9863860370433</v>
      </c>
      <c r="D58" s="2">
        <v>90</v>
      </c>
      <c r="E58" s="2">
        <v>93</v>
      </c>
      <c r="F58" s="3">
        <v>4767.0204843441297</v>
      </c>
      <c r="G58" s="2">
        <v>25</v>
      </c>
      <c r="H58" s="2">
        <v>23</v>
      </c>
      <c r="I58" s="2">
        <v>83</v>
      </c>
      <c r="J58" s="2">
        <v>5</v>
      </c>
      <c r="K58" s="2" t="s">
        <v>16</v>
      </c>
      <c r="L58" s="3">
        <v>1.77442971407173</v>
      </c>
      <c r="M58" s="2" t="s">
        <v>12</v>
      </c>
      <c r="N58" s="2" t="s">
        <v>4</v>
      </c>
      <c r="O58" s="2">
        <v>826</v>
      </c>
      <c r="P58" s="2">
        <v>28</v>
      </c>
      <c r="Q58" s="3">
        <v>12.8362845728327</v>
      </c>
      <c r="R58" s="2" t="s">
        <v>36</v>
      </c>
      <c r="S58" s="4">
        <v>1.1737554953874501</v>
      </c>
      <c r="T58" s="2" t="s">
        <v>13</v>
      </c>
      <c r="U58" s="2" t="s">
        <v>7</v>
      </c>
      <c r="V58" s="3">
        <v>832.210808706021</v>
      </c>
      <c r="W58" s="3">
        <f>[1]!Data[[#This Row],[Manufacturing costs]]+[1]!Data[[#This Row],[Shipping costs]]+[1]!Data[[#This Row],[Costs]]</f>
        <v>846.82152299292545</v>
      </c>
      <c r="X58" s="3">
        <f>[1]!Data[[#This Row],[Revenue generated]]- [1]!Data[[#This Row],[Total Cost]]</f>
        <v>3920.1989613512042</v>
      </c>
      <c r="Y58" s="5">
        <f>[1]!Data[[#This Row],[Profit]]/[1]!Data[[#This Row],[Revenue generated]]</f>
        <v>0.82235832093147898</v>
      </c>
      <c r="Z58" s="6" t="str">
        <f>IF([1]!Data[[#This Row],[Stock levels]]&lt;20,"Low Stock","Healthy")</f>
        <v>Healthy</v>
      </c>
      <c r="AA58" s="6" t="str">
        <f>IF([1]!Data[[#This Row],[Defect rates]]&gt;3,"High Risk",
IF([1]!Data[[#This Row],[Defect rates]]&gt;1,"Medium Risk","Low Risk"))</f>
        <v>Medium Risk</v>
      </c>
      <c r="AB58" s="7">
        <f>IF([1]!Data[[#This Row],[Inspection results]]="Pass",1,
IF([1]!Data[[#This Row],[Inspection results]]="Pending",0.5,0))</f>
        <v>1</v>
      </c>
    </row>
    <row r="59" spans="1:28" x14ac:dyDescent="0.3">
      <c r="A59" s="8" t="s">
        <v>0</v>
      </c>
      <c r="B59" s="9" t="s">
        <v>83</v>
      </c>
      <c r="C59" s="10">
        <v>49.263205350734097</v>
      </c>
      <c r="D59" s="9">
        <v>65</v>
      </c>
      <c r="E59" s="9">
        <v>227</v>
      </c>
      <c r="F59" s="10">
        <v>1605.8669003924001</v>
      </c>
      <c r="G59" s="9">
        <v>5</v>
      </c>
      <c r="H59" s="9">
        <v>18</v>
      </c>
      <c r="I59" s="9">
        <v>51</v>
      </c>
      <c r="J59" s="9">
        <v>1</v>
      </c>
      <c r="K59" s="9" t="s">
        <v>2</v>
      </c>
      <c r="L59" s="10">
        <v>9.1605585353818704</v>
      </c>
      <c r="M59" s="9" t="s">
        <v>33</v>
      </c>
      <c r="N59" s="9" t="s">
        <v>23</v>
      </c>
      <c r="O59" s="9">
        <v>588</v>
      </c>
      <c r="P59" s="9">
        <v>25</v>
      </c>
      <c r="Q59" s="10">
        <v>67.779622987078099</v>
      </c>
      <c r="R59" s="9" t="s">
        <v>5</v>
      </c>
      <c r="S59" s="11">
        <v>2.5111748302126999</v>
      </c>
      <c r="T59" s="9" t="s">
        <v>20</v>
      </c>
      <c r="U59" s="9" t="s">
        <v>21</v>
      </c>
      <c r="V59" s="10">
        <v>482.19123860252802</v>
      </c>
      <c r="W59" s="10">
        <f>[1]!Data[[#This Row],[Manufacturing costs]]+[1]!Data[[#This Row],[Shipping costs]]+[1]!Data[[#This Row],[Costs]]</f>
        <v>559.13142012498793</v>
      </c>
      <c r="X59" s="10">
        <f>[1]!Data[[#This Row],[Revenue generated]]- [1]!Data[[#This Row],[Total Cost]]</f>
        <v>1046.7354802674122</v>
      </c>
      <c r="Y59" s="12">
        <f>[1]!Data[[#This Row],[Profit]]/[1]!Data[[#This Row],[Revenue generated]]</f>
        <v>0.65181957484249664</v>
      </c>
      <c r="Z59" s="13" t="str">
        <f>IF([1]!Data[[#This Row],[Stock levels]]&lt;20,"Low Stock","Healthy")</f>
        <v>Low Stock</v>
      </c>
      <c r="AA59" s="13" t="str">
        <f>IF([1]!Data[[#This Row],[Defect rates]]&gt;3,"High Risk",
IF([1]!Data[[#This Row],[Defect rates]]&gt;1,"Medium Risk","Low Risk"))</f>
        <v>Medium Risk</v>
      </c>
      <c r="AB59" s="14">
        <f>IF([1]!Data[[#This Row],[Inspection results]]="Pass",1,
IF([1]!Data[[#This Row],[Inspection results]]="Pending",0.5,0))</f>
        <v>0.5</v>
      </c>
    </row>
    <row r="60" spans="1:28" x14ac:dyDescent="0.3">
      <c r="A60" s="1" t="s">
        <v>8</v>
      </c>
      <c r="B60" s="2" t="s">
        <v>84</v>
      </c>
      <c r="C60" s="3">
        <v>59.841561377289302</v>
      </c>
      <c r="D60" s="2">
        <v>81</v>
      </c>
      <c r="E60" s="2">
        <v>896</v>
      </c>
      <c r="F60" s="3">
        <v>2021.1498103371</v>
      </c>
      <c r="G60" s="2">
        <v>10</v>
      </c>
      <c r="H60" s="2">
        <v>5</v>
      </c>
      <c r="I60" s="2">
        <v>44</v>
      </c>
      <c r="J60" s="2">
        <v>7</v>
      </c>
      <c r="K60" s="2" t="s">
        <v>10</v>
      </c>
      <c r="L60" s="3">
        <v>4.9384385647120901</v>
      </c>
      <c r="M60" s="2" t="s">
        <v>3</v>
      </c>
      <c r="N60" s="2" t="s">
        <v>23</v>
      </c>
      <c r="O60" s="2">
        <v>396</v>
      </c>
      <c r="P60" s="2">
        <v>7</v>
      </c>
      <c r="Q60" s="3">
        <v>65.047415094691402</v>
      </c>
      <c r="R60" s="2" t="s">
        <v>19</v>
      </c>
      <c r="S60" s="4">
        <v>1.7303747198591899</v>
      </c>
      <c r="T60" s="2" t="s">
        <v>6</v>
      </c>
      <c r="U60" s="2" t="s">
        <v>7</v>
      </c>
      <c r="V60" s="3">
        <v>110.364335231364</v>
      </c>
      <c r="W60" s="3">
        <f>[1]!Data[[#This Row],[Manufacturing costs]]+[1]!Data[[#This Row],[Shipping costs]]+[1]!Data[[#This Row],[Costs]]</f>
        <v>180.35018889076747</v>
      </c>
      <c r="X60" s="3">
        <f>[1]!Data[[#This Row],[Revenue generated]]- [1]!Data[[#This Row],[Total Cost]]</f>
        <v>1840.7996214463326</v>
      </c>
      <c r="Y60" s="5">
        <f>[1]!Data[[#This Row],[Profit]]/[1]!Data[[#This Row],[Revenue generated]]</f>
        <v>0.91076851999373198</v>
      </c>
      <c r="Z60" s="6" t="str">
        <f>IF([1]!Data[[#This Row],[Stock levels]]&lt;20,"Low Stock","Healthy")</f>
        <v>Low Stock</v>
      </c>
      <c r="AA60" s="6" t="str">
        <f>IF([1]!Data[[#This Row],[Defect rates]]&gt;3,"High Risk",
IF([1]!Data[[#This Row],[Defect rates]]&gt;1,"Medium Risk","Low Risk"))</f>
        <v>Medium Risk</v>
      </c>
      <c r="AB60" s="7">
        <f>IF([1]!Data[[#This Row],[Inspection results]]="Pass",1,
IF([1]!Data[[#This Row],[Inspection results]]="Pending",0.5,0))</f>
        <v>0</v>
      </c>
    </row>
    <row r="61" spans="1:28" x14ac:dyDescent="0.3">
      <c r="A61" s="8" t="s">
        <v>29</v>
      </c>
      <c r="B61" s="9" t="s">
        <v>85</v>
      </c>
      <c r="C61" s="10">
        <v>63.828398347710902</v>
      </c>
      <c r="D61" s="9">
        <v>30</v>
      </c>
      <c r="E61" s="9">
        <v>484</v>
      </c>
      <c r="F61" s="10">
        <v>1061.6185230132801</v>
      </c>
      <c r="G61" s="9">
        <v>100</v>
      </c>
      <c r="H61" s="9">
        <v>16</v>
      </c>
      <c r="I61" s="9">
        <v>26</v>
      </c>
      <c r="J61" s="9">
        <v>7</v>
      </c>
      <c r="K61" s="9" t="s">
        <v>2</v>
      </c>
      <c r="L61" s="10">
        <v>7.2937225968677204</v>
      </c>
      <c r="M61" s="9" t="s">
        <v>12</v>
      </c>
      <c r="N61" s="9" t="s">
        <v>18</v>
      </c>
      <c r="O61" s="9">
        <v>176</v>
      </c>
      <c r="P61" s="9">
        <v>4</v>
      </c>
      <c r="Q61" s="10">
        <v>1.90076224351945</v>
      </c>
      <c r="R61" s="9" t="s">
        <v>19</v>
      </c>
      <c r="S61" s="11">
        <v>0.44719401546382298</v>
      </c>
      <c r="T61" s="9" t="s">
        <v>13</v>
      </c>
      <c r="U61" s="9" t="s">
        <v>21</v>
      </c>
      <c r="V61" s="10">
        <v>312.57427361009297</v>
      </c>
      <c r="W61" s="10">
        <f>[1]!Data[[#This Row],[Manufacturing costs]]+[1]!Data[[#This Row],[Shipping costs]]+[1]!Data[[#This Row],[Costs]]</f>
        <v>321.76875845048016</v>
      </c>
      <c r="X61" s="10">
        <f>[1]!Data[[#This Row],[Revenue generated]]- [1]!Data[[#This Row],[Total Cost]]</f>
        <v>739.84976456279992</v>
      </c>
      <c r="Y61" s="12">
        <f>[1]!Data[[#This Row],[Profit]]/[1]!Data[[#This Row],[Revenue generated]]</f>
        <v>0.6969073622253904</v>
      </c>
      <c r="Z61" s="13" t="str">
        <f>IF([1]!Data[[#This Row],[Stock levels]]&lt;20,"Low Stock","Healthy")</f>
        <v>Healthy</v>
      </c>
      <c r="AA61" s="13" t="str">
        <f>IF([1]!Data[[#This Row],[Defect rates]]&gt;3,"High Risk",
IF([1]!Data[[#This Row],[Defect rates]]&gt;1,"Medium Risk","Low Risk"))</f>
        <v>Low Risk</v>
      </c>
      <c r="AB61" s="14">
        <f>IF([1]!Data[[#This Row],[Inspection results]]="Pass",1,
IF([1]!Data[[#This Row],[Inspection results]]="Pending",0.5,0))</f>
        <v>0</v>
      </c>
    </row>
    <row r="62" spans="1:28" x14ac:dyDescent="0.3">
      <c r="A62" s="1" t="s">
        <v>8</v>
      </c>
      <c r="B62" s="2" t="s">
        <v>86</v>
      </c>
      <c r="C62" s="3">
        <v>17.028027920188698</v>
      </c>
      <c r="D62" s="2">
        <v>16</v>
      </c>
      <c r="E62" s="2">
        <v>380</v>
      </c>
      <c r="F62" s="3">
        <v>8864.0843495864301</v>
      </c>
      <c r="G62" s="2">
        <v>41</v>
      </c>
      <c r="H62" s="2">
        <v>27</v>
      </c>
      <c r="I62" s="2">
        <v>72</v>
      </c>
      <c r="J62" s="2">
        <v>8</v>
      </c>
      <c r="K62" s="2" t="s">
        <v>16</v>
      </c>
      <c r="L62" s="3">
        <v>4.3813681581023101</v>
      </c>
      <c r="M62" s="2" t="s">
        <v>25</v>
      </c>
      <c r="N62" s="2" t="s">
        <v>4</v>
      </c>
      <c r="O62" s="2">
        <v>929</v>
      </c>
      <c r="P62" s="2">
        <v>24</v>
      </c>
      <c r="Q62" s="3">
        <v>87.213057815135599</v>
      </c>
      <c r="R62" s="2" t="s">
        <v>19</v>
      </c>
      <c r="S62" s="4">
        <v>2.8530906166490499</v>
      </c>
      <c r="T62" s="2" t="s">
        <v>20</v>
      </c>
      <c r="U62" s="2" t="s">
        <v>21</v>
      </c>
      <c r="V62" s="3">
        <v>430.16909697513597</v>
      </c>
      <c r="W62" s="3">
        <f>[1]!Data[[#This Row],[Manufacturing costs]]+[1]!Data[[#This Row],[Shipping costs]]+[1]!Data[[#This Row],[Costs]]</f>
        <v>521.76352294837386</v>
      </c>
      <c r="X62" s="3">
        <f>[1]!Data[[#This Row],[Revenue generated]]- [1]!Data[[#This Row],[Total Cost]]</f>
        <v>8342.320826638057</v>
      </c>
      <c r="Y62" s="5">
        <f>[1]!Data[[#This Row],[Profit]]/[1]!Data[[#This Row],[Revenue generated]]</f>
        <v>0.94113734680641692</v>
      </c>
      <c r="Z62" s="6" t="str">
        <f>IF([1]!Data[[#This Row],[Stock levels]]&lt;20,"Low Stock","Healthy")</f>
        <v>Healthy</v>
      </c>
      <c r="AA62" s="6" t="str">
        <f>IF([1]!Data[[#This Row],[Defect rates]]&gt;3,"High Risk",
IF([1]!Data[[#This Row],[Defect rates]]&gt;1,"Medium Risk","Low Risk"))</f>
        <v>Medium Risk</v>
      </c>
      <c r="AB62" s="7">
        <f>IF([1]!Data[[#This Row],[Inspection results]]="Pass",1,
IF([1]!Data[[#This Row],[Inspection results]]="Pending",0.5,0))</f>
        <v>0</v>
      </c>
    </row>
    <row r="63" spans="1:28" x14ac:dyDescent="0.3">
      <c r="A63" s="8" t="s">
        <v>0</v>
      </c>
      <c r="B63" s="9" t="s">
        <v>87</v>
      </c>
      <c r="C63" s="10">
        <v>52.028749903294901</v>
      </c>
      <c r="D63" s="9">
        <v>23</v>
      </c>
      <c r="E63" s="9">
        <v>117</v>
      </c>
      <c r="F63" s="10">
        <v>6885.5893508962499</v>
      </c>
      <c r="G63" s="9">
        <v>32</v>
      </c>
      <c r="H63" s="9">
        <v>23</v>
      </c>
      <c r="I63" s="9">
        <v>36</v>
      </c>
      <c r="J63" s="9">
        <v>7</v>
      </c>
      <c r="K63" s="9" t="s">
        <v>16</v>
      </c>
      <c r="L63" s="10">
        <v>9.0303404225219399</v>
      </c>
      <c r="M63" s="9" t="s">
        <v>25</v>
      </c>
      <c r="N63" s="9" t="s">
        <v>18</v>
      </c>
      <c r="O63" s="9">
        <v>480</v>
      </c>
      <c r="P63" s="9">
        <v>12</v>
      </c>
      <c r="Q63" s="10">
        <v>78.702393968878894</v>
      </c>
      <c r="R63" s="9" t="s">
        <v>19</v>
      </c>
      <c r="S63" s="11">
        <v>4.3674705382050503</v>
      </c>
      <c r="T63" s="9" t="s">
        <v>13</v>
      </c>
      <c r="U63" s="9" t="s">
        <v>21</v>
      </c>
      <c r="V63" s="10">
        <v>164.366528243419</v>
      </c>
      <c r="W63" s="10">
        <f>[1]!Data[[#This Row],[Manufacturing costs]]+[1]!Data[[#This Row],[Shipping costs]]+[1]!Data[[#This Row],[Costs]]</f>
        <v>252.09926263481984</v>
      </c>
      <c r="X63" s="10">
        <f>[1]!Data[[#This Row],[Revenue generated]]- [1]!Data[[#This Row],[Total Cost]]</f>
        <v>6633.4900882614302</v>
      </c>
      <c r="Y63" s="12">
        <f>[1]!Data[[#This Row],[Profit]]/[1]!Data[[#This Row],[Revenue generated]]</f>
        <v>0.96338740959014557</v>
      </c>
      <c r="Z63" s="13" t="str">
        <f>IF([1]!Data[[#This Row],[Stock levels]]&lt;20,"Low Stock","Healthy")</f>
        <v>Healthy</v>
      </c>
      <c r="AA63" s="13" t="str">
        <f>IF([1]!Data[[#This Row],[Defect rates]]&gt;3,"High Risk",
IF([1]!Data[[#This Row],[Defect rates]]&gt;1,"Medium Risk","Low Risk"))</f>
        <v>High Risk</v>
      </c>
      <c r="AB63" s="14">
        <f>IF([1]!Data[[#This Row],[Inspection results]]="Pass",1,
IF([1]!Data[[#This Row],[Inspection results]]="Pending",0.5,0))</f>
        <v>0</v>
      </c>
    </row>
    <row r="64" spans="1:28" x14ac:dyDescent="0.3">
      <c r="A64" s="1" t="s">
        <v>29</v>
      </c>
      <c r="B64" s="2" t="s">
        <v>88</v>
      </c>
      <c r="C64" s="3">
        <v>72.796353955587307</v>
      </c>
      <c r="D64" s="2">
        <v>89</v>
      </c>
      <c r="E64" s="2">
        <v>270</v>
      </c>
      <c r="F64" s="3">
        <v>3899.7468337292198</v>
      </c>
      <c r="G64" s="2">
        <v>86</v>
      </c>
      <c r="H64" s="2">
        <v>2</v>
      </c>
      <c r="I64" s="2">
        <v>40</v>
      </c>
      <c r="J64" s="2">
        <v>7</v>
      </c>
      <c r="K64" s="2" t="s">
        <v>16</v>
      </c>
      <c r="L64" s="3">
        <v>7.2917013887767697</v>
      </c>
      <c r="M64" s="2" t="s">
        <v>33</v>
      </c>
      <c r="N64" s="2" t="s">
        <v>4</v>
      </c>
      <c r="O64" s="2">
        <v>751</v>
      </c>
      <c r="P64" s="2">
        <v>14</v>
      </c>
      <c r="Q64" s="3">
        <v>21.048642725168602</v>
      </c>
      <c r="R64" s="2" t="s">
        <v>36</v>
      </c>
      <c r="S64" s="4">
        <v>1.87400140404437</v>
      </c>
      <c r="T64" s="2" t="s">
        <v>28</v>
      </c>
      <c r="U64" s="2" t="s">
        <v>14</v>
      </c>
      <c r="V64" s="3">
        <v>320.84651575911101</v>
      </c>
      <c r="W64" s="3">
        <f>[1]!Data[[#This Row],[Manufacturing costs]]+[1]!Data[[#This Row],[Shipping costs]]+[1]!Data[[#This Row],[Costs]]</f>
        <v>349.18685987305639</v>
      </c>
      <c r="X64" s="3">
        <f>[1]!Data[[#This Row],[Revenue generated]]- [1]!Data[[#This Row],[Total Cost]]</f>
        <v>3550.5599738561632</v>
      </c>
      <c r="Y64" s="5">
        <f>[1]!Data[[#This Row],[Profit]]/[1]!Data[[#This Row],[Revenue generated]]</f>
        <v>0.91045909522820512</v>
      </c>
      <c r="Z64" s="6" t="str">
        <f>IF([1]!Data[[#This Row],[Stock levels]]&lt;20,"Low Stock","Healthy")</f>
        <v>Healthy</v>
      </c>
      <c r="AA64" s="6" t="str">
        <f>IF([1]!Data[[#This Row],[Defect rates]]&gt;3,"High Risk",
IF([1]!Data[[#This Row],[Defect rates]]&gt;1,"Medium Risk","Low Risk"))</f>
        <v>Medium Risk</v>
      </c>
      <c r="AB64" s="7">
        <f>IF([1]!Data[[#This Row],[Inspection results]]="Pass",1,
IF([1]!Data[[#This Row],[Inspection results]]="Pending",0.5,0))</f>
        <v>1</v>
      </c>
    </row>
    <row r="65" spans="1:28" x14ac:dyDescent="0.3">
      <c r="A65" s="8" t="s">
        <v>8</v>
      </c>
      <c r="B65" s="9" t="s">
        <v>89</v>
      </c>
      <c r="C65" s="10">
        <v>13.0173767852878</v>
      </c>
      <c r="D65" s="9">
        <v>55</v>
      </c>
      <c r="E65" s="9">
        <v>246</v>
      </c>
      <c r="F65" s="10">
        <v>4256.9491408502199</v>
      </c>
      <c r="G65" s="9">
        <v>54</v>
      </c>
      <c r="H65" s="9">
        <v>19</v>
      </c>
      <c r="I65" s="9">
        <v>10</v>
      </c>
      <c r="J65" s="9">
        <v>4</v>
      </c>
      <c r="K65" s="9" t="s">
        <v>10</v>
      </c>
      <c r="L65" s="10">
        <v>2.45793352798733</v>
      </c>
      <c r="M65" s="9" t="s">
        <v>3</v>
      </c>
      <c r="N65" s="9" t="s">
        <v>26</v>
      </c>
      <c r="O65" s="9">
        <v>736</v>
      </c>
      <c r="P65" s="9">
        <v>10</v>
      </c>
      <c r="Q65" s="10">
        <v>20.075003975630398</v>
      </c>
      <c r="R65" s="9" t="s">
        <v>5</v>
      </c>
      <c r="S65" s="11">
        <v>3.6328432903821302</v>
      </c>
      <c r="T65" s="9" t="s">
        <v>28</v>
      </c>
      <c r="U65" s="9" t="s">
        <v>21</v>
      </c>
      <c r="V65" s="10">
        <v>687.28617786641701</v>
      </c>
      <c r="W65" s="10">
        <f>[1]!Data[[#This Row],[Manufacturing costs]]+[1]!Data[[#This Row],[Shipping costs]]+[1]!Data[[#This Row],[Costs]]</f>
        <v>709.81911537003475</v>
      </c>
      <c r="X65" s="10">
        <f>[1]!Data[[#This Row],[Revenue generated]]- [1]!Data[[#This Row],[Total Cost]]</f>
        <v>3547.1300254801854</v>
      </c>
      <c r="Y65" s="12">
        <f>[1]!Data[[#This Row],[Profit]]/[1]!Data[[#This Row],[Revenue generated]]</f>
        <v>0.83325637871532898</v>
      </c>
      <c r="Z65" s="13" t="str">
        <f>IF([1]!Data[[#This Row],[Stock levels]]&lt;20,"Low Stock","Healthy")</f>
        <v>Healthy</v>
      </c>
      <c r="AA65" s="13" t="str">
        <f>IF([1]!Data[[#This Row],[Defect rates]]&gt;3,"High Risk",
IF([1]!Data[[#This Row],[Defect rates]]&gt;1,"Medium Risk","Low Risk"))</f>
        <v>High Risk</v>
      </c>
      <c r="AB65" s="14">
        <f>IF([1]!Data[[#This Row],[Inspection results]]="Pass",1,
IF([1]!Data[[#This Row],[Inspection results]]="Pending",0.5,0))</f>
        <v>0.5</v>
      </c>
    </row>
    <row r="66" spans="1:28" x14ac:dyDescent="0.3">
      <c r="A66" s="1" t="s">
        <v>8</v>
      </c>
      <c r="B66" s="2" t="s">
        <v>90</v>
      </c>
      <c r="C66" s="3">
        <v>89.634095608135297</v>
      </c>
      <c r="D66" s="2">
        <v>11</v>
      </c>
      <c r="E66" s="2">
        <v>134</v>
      </c>
      <c r="F66" s="3">
        <v>8458.7308783671706</v>
      </c>
      <c r="G66" s="2">
        <v>73</v>
      </c>
      <c r="H66" s="2">
        <v>27</v>
      </c>
      <c r="I66" s="2">
        <v>75</v>
      </c>
      <c r="J66" s="2">
        <v>6</v>
      </c>
      <c r="K66" s="2" t="s">
        <v>16</v>
      </c>
      <c r="L66" s="3">
        <v>4.5853534681946497</v>
      </c>
      <c r="M66" s="2" t="s">
        <v>12</v>
      </c>
      <c r="N66" s="2" t="s">
        <v>23</v>
      </c>
      <c r="O66" s="2">
        <v>328</v>
      </c>
      <c r="P66" s="2">
        <v>6</v>
      </c>
      <c r="Q66" s="3">
        <v>8.6930424258772803</v>
      </c>
      <c r="R66" s="2" t="s">
        <v>19</v>
      </c>
      <c r="S66" s="4">
        <v>0.15948631471751401</v>
      </c>
      <c r="T66" s="2" t="s">
        <v>13</v>
      </c>
      <c r="U66" s="2" t="s">
        <v>14</v>
      </c>
      <c r="V66" s="3">
        <v>771.225084681157</v>
      </c>
      <c r="W66" s="3">
        <f>[1]!Data[[#This Row],[Manufacturing costs]]+[1]!Data[[#This Row],[Shipping costs]]+[1]!Data[[#This Row],[Costs]]</f>
        <v>784.50348057522888</v>
      </c>
      <c r="X66" s="3">
        <f>[1]!Data[[#This Row],[Revenue generated]]- [1]!Data[[#This Row],[Total Cost]]</f>
        <v>7674.2273977919413</v>
      </c>
      <c r="Y66" s="5">
        <f>[1]!Data[[#This Row],[Profit]]/[1]!Data[[#This Row],[Revenue generated]]</f>
        <v>0.90725517907401898</v>
      </c>
      <c r="Z66" s="6" t="str">
        <f>IF([1]!Data[[#This Row],[Stock levels]]&lt;20,"Low Stock","Healthy")</f>
        <v>Healthy</v>
      </c>
      <c r="AA66" s="6" t="str">
        <f>IF([1]!Data[[#This Row],[Defect rates]]&gt;3,"High Risk",
IF([1]!Data[[#This Row],[Defect rates]]&gt;1,"Medium Risk","Low Risk"))</f>
        <v>Low Risk</v>
      </c>
      <c r="AB66" s="7">
        <f>IF([1]!Data[[#This Row],[Inspection results]]="Pass",1,
IF([1]!Data[[#This Row],[Inspection results]]="Pending",0.5,0))</f>
        <v>0</v>
      </c>
    </row>
    <row r="67" spans="1:28" x14ac:dyDescent="0.3">
      <c r="A67" s="8" t="s">
        <v>8</v>
      </c>
      <c r="B67" s="9" t="s">
        <v>91</v>
      </c>
      <c r="C67" s="10">
        <v>33.697717206643098</v>
      </c>
      <c r="D67" s="9">
        <v>72</v>
      </c>
      <c r="E67" s="9">
        <v>457</v>
      </c>
      <c r="F67" s="10">
        <v>8354.5796864819895</v>
      </c>
      <c r="G67" s="9">
        <v>57</v>
      </c>
      <c r="H67" s="9">
        <v>24</v>
      </c>
      <c r="I67" s="9">
        <v>54</v>
      </c>
      <c r="J67" s="9">
        <v>8</v>
      </c>
      <c r="K67" s="9" t="s">
        <v>16</v>
      </c>
      <c r="L67" s="10">
        <v>6.5805413478845898</v>
      </c>
      <c r="M67" s="9" t="s">
        <v>17</v>
      </c>
      <c r="N67" s="9" t="s">
        <v>18</v>
      </c>
      <c r="O67" s="9">
        <v>358</v>
      </c>
      <c r="P67" s="9">
        <v>21</v>
      </c>
      <c r="Q67" s="10">
        <v>1.59722274305067</v>
      </c>
      <c r="R67" s="9" t="s">
        <v>19</v>
      </c>
      <c r="S67" s="11">
        <v>4.9110959548423301</v>
      </c>
      <c r="T67" s="9" t="s">
        <v>20</v>
      </c>
      <c r="U67" s="9" t="s">
        <v>14</v>
      </c>
      <c r="V67" s="10">
        <v>555.85910367174301</v>
      </c>
      <c r="W67" s="10">
        <f>[1]!Data[[#This Row],[Manufacturing costs]]+[1]!Data[[#This Row],[Shipping costs]]+[1]!Data[[#This Row],[Costs]]</f>
        <v>564.0368677626783</v>
      </c>
      <c r="X67" s="10">
        <f>[1]!Data[[#This Row],[Revenue generated]]- [1]!Data[[#This Row],[Total Cost]]</f>
        <v>7790.5428187193111</v>
      </c>
      <c r="Y67" s="12">
        <f>[1]!Data[[#This Row],[Profit]]/[1]!Data[[#This Row],[Revenue generated]]</f>
        <v>0.93248770268176262</v>
      </c>
      <c r="Z67" s="13" t="str">
        <f>IF([1]!Data[[#This Row],[Stock levels]]&lt;20,"Low Stock","Healthy")</f>
        <v>Healthy</v>
      </c>
      <c r="AA67" s="13" t="str">
        <f>IF([1]!Data[[#This Row],[Defect rates]]&gt;3,"High Risk",
IF([1]!Data[[#This Row],[Defect rates]]&gt;1,"Medium Risk","Low Risk"))</f>
        <v>High Risk</v>
      </c>
      <c r="AB67" s="14">
        <f>IF([1]!Data[[#This Row],[Inspection results]]="Pass",1,
IF([1]!Data[[#This Row],[Inspection results]]="Pending",0.5,0))</f>
        <v>0</v>
      </c>
    </row>
    <row r="68" spans="1:28" x14ac:dyDescent="0.3">
      <c r="A68" s="1" t="s">
        <v>8</v>
      </c>
      <c r="B68" s="2" t="s">
        <v>92</v>
      </c>
      <c r="C68" s="3">
        <v>26.034869773962001</v>
      </c>
      <c r="D68" s="2">
        <v>52</v>
      </c>
      <c r="E68" s="2">
        <v>704</v>
      </c>
      <c r="F68" s="3">
        <v>8367.7216180201503</v>
      </c>
      <c r="G68" s="2">
        <v>13</v>
      </c>
      <c r="H68" s="2">
        <v>17</v>
      </c>
      <c r="I68" s="2">
        <v>19</v>
      </c>
      <c r="J68" s="2">
        <v>8</v>
      </c>
      <c r="K68" s="2" t="s">
        <v>10</v>
      </c>
      <c r="L68" s="3">
        <v>2.2161427287713602</v>
      </c>
      <c r="M68" s="2" t="s">
        <v>17</v>
      </c>
      <c r="N68" s="2" t="s">
        <v>18</v>
      </c>
      <c r="O68" s="2">
        <v>867</v>
      </c>
      <c r="P68" s="2">
        <v>28</v>
      </c>
      <c r="Q68" s="3">
        <v>42.084436738309897</v>
      </c>
      <c r="R68" s="2" t="s">
        <v>19</v>
      </c>
      <c r="S68" s="4">
        <v>3.44806328834026</v>
      </c>
      <c r="T68" s="2" t="s">
        <v>6</v>
      </c>
      <c r="U68" s="2" t="s">
        <v>21</v>
      </c>
      <c r="V68" s="3">
        <v>393.84334857842703</v>
      </c>
      <c r="W68" s="3">
        <f>[1]!Data[[#This Row],[Manufacturing costs]]+[1]!Data[[#This Row],[Shipping costs]]+[1]!Data[[#This Row],[Costs]]</f>
        <v>438.14392804550829</v>
      </c>
      <c r="X68" s="3">
        <f>[1]!Data[[#This Row],[Revenue generated]]- [1]!Data[[#This Row],[Total Cost]]</f>
        <v>7929.5776899746425</v>
      </c>
      <c r="Y68" s="5">
        <f>[1]!Data[[#This Row],[Profit]]/[1]!Data[[#This Row],[Revenue generated]]</f>
        <v>0.94763880204834361</v>
      </c>
      <c r="Z68" s="6" t="str">
        <f>IF([1]!Data[[#This Row],[Stock levels]]&lt;20,"Low Stock","Healthy")</f>
        <v>Low Stock</v>
      </c>
      <c r="AA68" s="6" t="str">
        <f>IF([1]!Data[[#This Row],[Defect rates]]&gt;3,"High Risk",
IF([1]!Data[[#This Row],[Defect rates]]&gt;1,"Medium Risk","Low Risk"))</f>
        <v>High Risk</v>
      </c>
      <c r="AB68" s="7">
        <f>IF([1]!Data[[#This Row],[Inspection results]]="Pass",1,
IF([1]!Data[[#This Row],[Inspection results]]="Pending",0.5,0))</f>
        <v>0</v>
      </c>
    </row>
    <row r="69" spans="1:28" x14ac:dyDescent="0.3">
      <c r="A69" s="8" t="s">
        <v>8</v>
      </c>
      <c r="B69" s="9" t="s">
        <v>93</v>
      </c>
      <c r="C69" s="10">
        <v>87.755432354001002</v>
      </c>
      <c r="D69" s="9">
        <v>16</v>
      </c>
      <c r="E69" s="9">
        <v>513</v>
      </c>
      <c r="F69" s="10">
        <v>9473.7980325083299</v>
      </c>
      <c r="G69" s="9">
        <v>12</v>
      </c>
      <c r="H69" s="9">
        <v>9</v>
      </c>
      <c r="I69" s="9">
        <v>71</v>
      </c>
      <c r="J69" s="9">
        <v>9</v>
      </c>
      <c r="K69" s="9" t="s">
        <v>16</v>
      </c>
      <c r="L69" s="10">
        <v>9.1478115447106294</v>
      </c>
      <c r="M69" s="9" t="s">
        <v>12</v>
      </c>
      <c r="N69" s="9" t="s">
        <v>4</v>
      </c>
      <c r="O69" s="9">
        <v>198</v>
      </c>
      <c r="P69" s="9">
        <v>11</v>
      </c>
      <c r="Q69" s="10">
        <v>7.0578761469782298</v>
      </c>
      <c r="R69" s="9" t="s">
        <v>36</v>
      </c>
      <c r="S69" s="11">
        <v>0.131955444311814</v>
      </c>
      <c r="T69" s="9" t="s">
        <v>28</v>
      </c>
      <c r="U69" s="9" t="s">
        <v>14</v>
      </c>
      <c r="V69" s="10">
        <v>169.27180138478599</v>
      </c>
      <c r="W69" s="10">
        <f>[1]!Data[[#This Row],[Manufacturing costs]]+[1]!Data[[#This Row],[Shipping costs]]+[1]!Data[[#This Row],[Costs]]</f>
        <v>185.47748907647485</v>
      </c>
      <c r="X69" s="10">
        <f>[1]!Data[[#This Row],[Revenue generated]]- [1]!Data[[#This Row],[Total Cost]]</f>
        <v>9288.3205434318552</v>
      </c>
      <c r="Y69" s="12">
        <f>[1]!Data[[#This Row],[Profit]]/[1]!Data[[#This Row],[Revenue generated]]</f>
        <v>0.98042205581752662</v>
      </c>
      <c r="Z69" s="13" t="str">
        <f>IF([1]!Data[[#This Row],[Stock levels]]&lt;20,"Low Stock","Healthy")</f>
        <v>Low Stock</v>
      </c>
      <c r="AA69" s="13" t="str">
        <f>IF([1]!Data[[#This Row],[Defect rates]]&gt;3,"High Risk",
IF([1]!Data[[#This Row],[Defect rates]]&gt;1,"Medium Risk","Low Risk"))</f>
        <v>Low Risk</v>
      </c>
      <c r="AB69" s="14">
        <f>IF([1]!Data[[#This Row],[Inspection results]]="Pass",1,
IF([1]!Data[[#This Row],[Inspection results]]="Pending",0.5,0))</f>
        <v>1</v>
      </c>
    </row>
    <row r="70" spans="1:28" x14ac:dyDescent="0.3">
      <c r="A70" s="1" t="s">
        <v>0</v>
      </c>
      <c r="B70" s="2" t="s">
        <v>94</v>
      </c>
      <c r="C70" s="3">
        <v>37.931812382790298</v>
      </c>
      <c r="D70" s="2">
        <v>29</v>
      </c>
      <c r="E70" s="2">
        <v>163</v>
      </c>
      <c r="F70" s="3">
        <v>3550.21843278099</v>
      </c>
      <c r="G70" s="2">
        <v>0</v>
      </c>
      <c r="H70" s="2">
        <v>8</v>
      </c>
      <c r="I70" s="2">
        <v>58</v>
      </c>
      <c r="J70" s="2">
        <v>8</v>
      </c>
      <c r="K70" s="2" t="s">
        <v>2</v>
      </c>
      <c r="L70" s="3">
        <v>1.19425186488499</v>
      </c>
      <c r="M70" s="2" t="s">
        <v>33</v>
      </c>
      <c r="N70" s="2" t="s">
        <v>26</v>
      </c>
      <c r="O70" s="2">
        <v>375</v>
      </c>
      <c r="P70" s="2">
        <v>18</v>
      </c>
      <c r="Q70" s="3">
        <v>97.113581563462205</v>
      </c>
      <c r="R70" s="2" t="s">
        <v>19</v>
      </c>
      <c r="S70" s="4">
        <v>1.9834678721741801</v>
      </c>
      <c r="T70" s="2" t="s">
        <v>20</v>
      </c>
      <c r="U70" s="2" t="s">
        <v>21</v>
      </c>
      <c r="V70" s="3">
        <v>299.70630311810299</v>
      </c>
      <c r="W70" s="3">
        <f>[1]!Data[[#This Row],[Manufacturing costs]]+[1]!Data[[#This Row],[Shipping costs]]+[1]!Data[[#This Row],[Costs]]</f>
        <v>398.01413654645017</v>
      </c>
      <c r="X70" s="3">
        <f>[1]!Data[[#This Row],[Revenue generated]]- [1]!Data[[#This Row],[Total Cost]]</f>
        <v>3152.2042962345399</v>
      </c>
      <c r="Y70" s="5">
        <f>[1]!Data[[#This Row],[Profit]]/[1]!Data[[#This Row],[Revenue generated]]</f>
        <v>0.88789023997188987</v>
      </c>
      <c r="Z70" s="6" t="str">
        <f>IF([1]!Data[[#This Row],[Stock levels]]&lt;20,"Low Stock","Healthy")</f>
        <v>Low Stock</v>
      </c>
      <c r="AA70" s="6" t="str">
        <f>IF([1]!Data[[#This Row],[Defect rates]]&gt;3,"High Risk",
IF([1]!Data[[#This Row],[Defect rates]]&gt;1,"Medium Risk","Low Risk"))</f>
        <v>Medium Risk</v>
      </c>
      <c r="AB70" s="7">
        <f>IF([1]!Data[[#This Row],[Inspection results]]="Pass",1,
IF([1]!Data[[#This Row],[Inspection results]]="Pending",0.5,0))</f>
        <v>0</v>
      </c>
    </row>
    <row r="71" spans="1:28" x14ac:dyDescent="0.3">
      <c r="A71" s="8" t="s">
        <v>8</v>
      </c>
      <c r="B71" s="9" t="s">
        <v>95</v>
      </c>
      <c r="C71" s="10">
        <v>54.865528517069698</v>
      </c>
      <c r="D71" s="9">
        <v>62</v>
      </c>
      <c r="E71" s="9">
        <v>511</v>
      </c>
      <c r="F71" s="10">
        <v>1752.3810874841199</v>
      </c>
      <c r="G71" s="9">
        <v>95</v>
      </c>
      <c r="H71" s="9">
        <v>1</v>
      </c>
      <c r="I71" s="9">
        <v>27</v>
      </c>
      <c r="J71" s="9">
        <v>3</v>
      </c>
      <c r="K71" s="9" t="s">
        <v>2</v>
      </c>
      <c r="L71" s="10">
        <v>9.7052867901203399</v>
      </c>
      <c r="M71" s="9" t="s">
        <v>25</v>
      </c>
      <c r="N71" s="9" t="s">
        <v>18</v>
      </c>
      <c r="O71" s="9">
        <v>862</v>
      </c>
      <c r="P71" s="9">
        <v>7</v>
      </c>
      <c r="Q71" s="10">
        <v>77.627765812748095</v>
      </c>
      <c r="R71" s="9" t="s">
        <v>5</v>
      </c>
      <c r="S71" s="11">
        <v>1.3623879886490999</v>
      </c>
      <c r="T71" s="9" t="s">
        <v>13</v>
      </c>
      <c r="U71" s="9" t="s">
        <v>21</v>
      </c>
      <c r="V71" s="10">
        <v>207.66320620857499</v>
      </c>
      <c r="W71" s="10">
        <f>[1]!Data[[#This Row],[Manufacturing costs]]+[1]!Data[[#This Row],[Shipping costs]]+[1]!Data[[#This Row],[Costs]]</f>
        <v>294.99625881144345</v>
      </c>
      <c r="X71" s="10">
        <f>[1]!Data[[#This Row],[Revenue generated]]- [1]!Data[[#This Row],[Total Cost]]</f>
        <v>1457.3848286726766</v>
      </c>
      <c r="Y71" s="12">
        <f>[1]!Data[[#This Row],[Profit]]/[1]!Data[[#This Row],[Revenue generated]]</f>
        <v>0.83165975659154867</v>
      </c>
      <c r="Z71" s="13" t="str">
        <f>IF([1]!Data[[#This Row],[Stock levels]]&lt;20,"Low Stock","Healthy")</f>
        <v>Healthy</v>
      </c>
      <c r="AA71" s="13" t="str">
        <f>IF([1]!Data[[#This Row],[Defect rates]]&gt;3,"High Risk",
IF([1]!Data[[#This Row],[Defect rates]]&gt;1,"Medium Risk","Low Risk"))</f>
        <v>Medium Risk</v>
      </c>
      <c r="AB71" s="14">
        <f>IF([1]!Data[[#This Row],[Inspection results]]="Pass",1,
IF([1]!Data[[#This Row],[Inspection results]]="Pending",0.5,0))</f>
        <v>0.5</v>
      </c>
    </row>
    <row r="72" spans="1:28" x14ac:dyDescent="0.3">
      <c r="A72" s="1" t="s">
        <v>0</v>
      </c>
      <c r="B72" s="2" t="s">
        <v>96</v>
      </c>
      <c r="C72" s="3">
        <v>47.914541824058702</v>
      </c>
      <c r="D72" s="2">
        <v>90</v>
      </c>
      <c r="E72" s="2">
        <v>32</v>
      </c>
      <c r="F72" s="3">
        <v>7014.8879872033804</v>
      </c>
      <c r="G72" s="2">
        <v>10</v>
      </c>
      <c r="H72" s="2">
        <v>12</v>
      </c>
      <c r="I72" s="2">
        <v>22</v>
      </c>
      <c r="J72" s="2">
        <v>4</v>
      </c>
      <c r="K72" s="2" t="s">
        <v>2</v>
      </c>
      <c r="L72" s="3">
        <v>6.3157177546007199</v>
      </c>
      <c r="M72" s="2" t="s">
        <v>12</v>
      </c>
      <c r="N72" s="2" t="s">
        <v>26</v>
      </c>
      <c r="O72" s="2">
        <v>775</v>
      </c>
      <c r="P72" s="2">
        <v>16</v>
      </c>
      <c r="Q72" s="3">
        <v>11.440781823761199</v>
      </c>
      <c r="R72" s="2" t="s">
        <v>36</v>
      </c>
      <c r="S72" s="4">
        <v>1.8305755986122301</v>
      </c>
      <c r="T72" s="2" t="s">
        <v>6</v>
      </c>
      <c r="U72" s="2" t="s">
        <v>14</v>
      </c>
      <c r="V72" s="3">
        <v>183.27289874871099</v>
      </c>
      <c r="W72" s="3">
        <f>[1]!Data[[#This Row],[Manufacturing costs]]+[1]!Data[[#This Row],[Shipping costs]]+[1]!Data[[#This Row],[Costs]]</f>
        <v>201.0293983270729</v>
      </c>
      <c r="X72" s="3">
        <f>[1]!Data[[#This Row],[Revenue generated]]- [1]!Data[[#This Row],[Total Cost]]</f>
        <v>6813.8585888763073</v>
      </c>
      <c r="Y72" s="5">
        <f>[1]!Data[[#This Row],[Profit]]/[1]!Data[[#This Row],[Revenue generated]]</f>
        <v>0.97134246495542154</v>
      </c>
      <c r="Z72" s="6" t="str">
        <f>IF([1]!Data[[#This Row],[Stock levels]]&lt;20,"Low Stock","Healthy")</f>
        <v>Low Stock</v>
      </c>
      <c r="AA72" s="6" t="str">
        <f>IF([1]!Data[[#This Row],[Defect rates]]&gt;3,"High Risk",
IF([1]!Data[[#This Row],[Defect rates]]&gt;1,"Medium Risk","Low Risk"))</f>
        <v>Medium Risk</v>
      </c>
      <c r="AB72" s="7">
        <f>IF([1]!Data[[#This Row],[Inspection results]]="Pass",1,
IF([1]!Data[[#This Row],[Inspection results]]="Pending",0.5,0))</f>
        <v>1</v>
      </c>
    </row>
    <row r="73" spans="1:28" x14ac:dyDescent="0.3">
      <c r="A73" s="8" t="s">
        <v>29</v>
      </c>
      <c r="B73" s="9" t="s">
        <v>97</v>
      </c>
      <c r="C73" s="10">
        <v>6.3815331627479601</v>
      </c>
      <c r="D73" s="9">
        <v>14</v>
      </c>
      <c r="E73" s="9">
        <v>637</v>
      </c>
      <c r="F73" s="10">
        <v>8180.3370854254399</v>
      </c>
      <c r="G73" s="9">
        <v>76</v>
      </c>
      <c r="H73" s="9">
        <v>2</v>
      </c>
      <c r="I73" s="9">
        <v>26</v>
      </c>
      <c r="J73" s="9">
        <v>6</v>
      </c>
      <c r="K73" s="9" t="s">
        <v>10</v>
      </c>
      <c r="L73" s="10">
        <v>9.2281903170525101</v>
      </c>
      <c r="M73" s="9" t="s">
        <v>33</v>
      </c>
      <c r="N73" s="9" t="s">
        <v>26</v>
      </c>
      <c r="O73" s="9">
        <v>258</v>
      </c>
      <c r="P73" s="9">
        <v>10</v>
      </c>
      <c r="Q73" s="10">
        <v>30.661677477859499</v>
      </c>
      <c r="R73" s="9" t="s">
        <v>5</v>
      </c>
      <c r="S73" s="11">
        <v>2.07875060787496</v>
      </c>
      <c r="T73" s="9" t="s">
        <v>6</v>
      </c>
      <c r="U73" s="9" t="s">
        <v>21</v>
      </c>
      <c r="V73" s="10">
        <v>405.167067888855</v>
      </c>
      <c r="W73" s="10">
        <f>[1]!Data[[#This Row],[Manufacturing costs]]+[1]!Data[[#This Row],[Shipping costs]]+[1]!Data[[#This Row],[Costs]]</f>
        <v>445.05693568376699</v>
      </c>
      <c r="X73" s="10">
        <f>[1]!Data[[#This Row],[Revenue generated]]- [1]!Data[[#This Row],[Total Cost]]</f>
        <v>7735.2801497416731</v>
      </c>
      <c r="Y73" s="12">
        <f>[1]!Data[[#This Row],[Profit]]/[1]!Data[[#This Row],[Revenue generated]]</f>
        <v>0.94559430362879471</v>
      </c>
      <c r="Z73" s="13" t="str">
        <f>IF([1]!Data[[#This Row],[Stock levels]]&lt;20,"Low Stock","Healthy")</f>
        <v>Healthy</v>
      </c>
      <c r="AA73" s="13" t="str">
        <f>IF([1]!Data[[#This Row],[Defect rates]]&gt;3,"High Risk",
IF([1]!Data[[#This Row],[Defect rates]]&gt;1,"Medium Risk","Low Risk"))</f>
        <v>Medium Risk</v>
      </c>
      <c r="AB73" s="14">
        <f>IF([1]!Data[[#This Row],[Inspection results]]="Pass",1,
IF([1]!Data[[#This Row],[Inspection results]]="Pending",0.5,0))</f>
        <v>0.5</v>
      </c>
    </row>
    <row r="74" spans="1:28" x14ac:dyDescent="0.3">
      <c r="A74" s="1" t="s">
        <v>29</v>
      </c>
      <c r="B74" s="2" t="s">
        <v>98</v>
      </c>
      <c r="C74" s="3">
        <v>90.204427520528</v>
      </c>
      <c r="D74" s="2">
        <v>88</v>
      </c>
      <c r="E74" s="2">
        <v>478</v>
      </c>
      <c r="F74" s="3">
        <v>2633.1219813122498</v>
      </c>
      <c r="G74" s="2">
        <v>57</v>
      </c>
      <c r="H74" s="2">
        <v>29</v>
      </c>
      <c r="I74" s="2">
        <v>77</v>
      </c>
      <c r="J74" s="2">
        <v>9</v>
      </c>
      <c r="K74" s="2" t="s">
        <v>10</v>
      </c>
      <c r="L74" s="3">
        <v>6.5996141596895397</v>
      </c>
      <c r="M74" s="2" t="s">
        <v>12</v>
      </c>
      <c r="N74" s="2" t="s">
        <v>26</v>
      </c>
      <c r="O74" s="2">
        <v>152</v>
      </c>
      <c r="P74" s="2">
        <v>11</v>
      </c>
      <c r="Q74" s="3">
        <v>55.760492895244198</v>
      </c>
      <c r="R74" s="2" t="s">
        <v>5</v>
      </c>
      <c r="S74" s="4">
        <v>3.2133296074383</v>
      </c>
      <c r="T74" s="2" t="s">
        <v>20</v>
      </c>
      <c r="U74" s="2" t="s">
        <v>7</v>
      </c>
      <c r="V74" s="3">
        <v>677.94456984618296</v>
      </c>
      <c r="W74" s="3">
        <f>[1]!Data[[#This Row],[Manufacturing costs]]+[1]!Data[[#This Row],[Shipping costs]]+[1]!Data[[#This Row],[Costs]]</f>
        <v>740.30467690111664</v>
      </c>
      <c r="X74" s="3">
        <f>[1]!Data[[#This Row],[Revenue generated]]- [1]!Data[[#This Row],[Total Cost]]</f>
        <v>1892.8173044111331</v>
      </c>
      <c r="Y74" s="5">
        <f>[1]!Data[[#This Row],[Profit]]/[1]!Data[[#This Row],[Revenue generated]]</f>
        <v>0.71884907643656659</v>
      </c>
      <c r="Z74" s="6" t="str">
        <f>IF([1]!Data[[#This Row],[Stock levels]]&lt;20,"Low Stock","Healthy")</f>
        <v>Healthy</v>
      </c>
      <c r="AA74" s="6" t="str">
        <f>IF([1]!Data[[#This Row],[Defect rates]]&gt;3,"High Risk",
IF([1]!Data[[#This Row],[Defect rates]]&gt;1,"Medium Risk","Low Risk"))</f>
        <v>High Risk</v>
      </c>
      <c r="AB74" s="7">
        <f>IF([1]!Data[[#This Row],[Inspection results]]="Pass",1,
IF([1]!Data[[#This Row],[Inspection results]]="Pending",0.5,0))</f>
        <v>0.5</v>
      </c>
    </row>
    <row r="75" spans="1:28" x14ac:dyDescent="0.3">
      <c r="A75" s="8" t="s">
        <v>29</v>
      </c>
      <c r="B75" s="9" t="s">
        <v>99</v>
      </c>
      <c r="C75" s="10">
        <v>83.851017681304597</v>
      </c>
      <c r="D75" s="9">
        <v>41</v>
      </c>
      <c r="E75" s="9">
        <v>375</v>
      </c>
      <c r="F75" s="10">
        <v>7910.8869161406801</v>
      </c>
      <c r="G75" s="9">
        <v>17</v>
      </c>
      <c r="H75" s="9">
        <v>25</v>
      </c>
      <c r="I75" s="9">
        <v>66</v>
      </c>
      <c r="J75" s="9">
        <v>5</v>
      </c>
      <c r="K75" s="9" t="s">
        <v>2</v>
      </c>
      <c r="L75" s="10">
        <v>1.5129368369160701</v>
      </c>
      <c r="M75" s="9" t="s">
        <v>25</v>
      </c>
      <c r="N75" s="9" t="s">
        <v>34</v>
      </c>
      <c r="O75" s="9">
        <v>444</v>
      </c>
      <c r="P75" s="9">
        <v>4</v>
      </c>
      <c r="Q75" s="10">
        <v>46.870238797617098</v>
      </c>
      <c r="R75" s="9" t="s">
        <v>19</v>
      </c>
      <c r="S75" s="11">
        <v>4.6205460645137002</v>
      </c>
      <c r="T75" s="9" t="s">
        <v>6</v>
      </c>
      <c r="U75" s="9" t="s">
        <v>21</v>
      </c>
      <c r="V75" s="10">
        <v>866.472800129657</v>
      </c>
      <c r="W75" s="10">
        <f>[1]!Data[[#This Row],[Manufacturing costs]]+[1]!Data[[#This Row],[Shipping costs]]+[1]!Data[[#This Row],[Costs]]</f>
        <v>914.85597576419013</v>
      </c>
      <c r="X75" s="10">
        <f>[1]!Data[[#This Row],[Revenue generated]]- [1]!Data[[#This Row],[Total Cost]]</f>
        <v>6996.0309403764895</v>
      </c>
      <c r="Y75" s="12">
        <f>[1]!Data[[#This Row],[Profit]]/[1]!Data[[#This Row],[Revenue generated]]</f>
        <v>0.88435481565314777</v>
      </c>
      <c r="Z75" s="13" t="str">
        <f>IF([1]!Data[[#This Row],[Stock levels]]&lt;20,"Low Stock","Healthy")</f>
        <v>Low Stock</v>
      </c>
      <c r="AA75" s="13" t="str">
        <f>IF([1]!Data[[#This Row],[Defect rates]]&gt;3,"High Risk",
IF([1]!Data[[#This Row],[Defect rates]]&gt;1,"Medium Risk","Low Risk"))</f>
        <v>High Risk</v>
      </c>
      <c r="AB75" s="14">
        <f>IF([1]!Data[[#This Row],[Inspection results]]="Pass",1,
IF([1]!Data[[#This Row],[Inspection results]]="Pending",0.5,0))</f>
        <v>0</v>
      </c>
    </row>
    <row r="76" spans="1:28" x14ac:dyDescent="0.3">
      <c r="A76" s="1" t="s">
        <v>0</v>
      </c>
      <c r="B76" s="2" t="s">
        <v>100</v>
      </c>
      <c r="C76" s="3">
        <v>3.1700114135661499</v>
      </c>
      <c r="D76" s="2">
        <v>64</v>
      </c>
      <c r="E76" s="2">
        <v>904</v>
      </c>
      <c r="F76" s="3">
        <v>5709.9452959692799</v>
      </c>
      <c r="G76" s="2">
        <v>41</v>
      </c>
      <c r="H76" s="2">
        <v>6</v>
      </c>
      <c r="I76" s="2">
        <v>1</v>
      </c>
      <c r="J76" s="2">
        <v>5</v>
      </c>
      <c r="K76" s="2" t="s">
        <v>10</v>
      </c>
      <c r="L76" s="3">
        <v>5.2376546500374399</v>
      </c>
      <c r="M76" s="2" t="s">
        <v>25</v>
      </c>
      <c r="N76" s="2" t="s">
        <v>23</v>
      </c>
      <c r="O76" s="2">
        <v>919</v>
      </c>
      <c r="P76" s="2">
        <v>9</v>
      </c>
      <c r="Q76" s="3">
        <v>80.580852156447804</v>
      </c>
      <c r="R76" s="2" t="s">
        <v>19</v>
      </c>
      <c r="S76" s="4">
        <v>0.39661272410993498</v>
      </c>
      <c r="T76" s="2" t="s">
        <v>20</v>
      </c>
      <c r="U76" s="2" t="s">
        <v>21</v>
      </c>
      <c r="V76" s="3">
        <v>341.55265678322297</v>
      </c>
      <c r="W76" s="3">
        <f>[1]!Data[[#This Row],[Manufacturing costs]]+[1]!Data[[#This Row],[Shipping costs]]+[1]!Data[[#This Row],[Costs]]</f>
        <v>427.3711635897082</v>
      </c>
      <c r="X76" s="3">
        <f>[1]!Data[[#This Row],[Revenue generated]]- [1]!Data[[#This Row],[Total Cost]]</f>
        <v>5282.5741323795719</v>
      </c>
      <c r="Y76" s="5">
        <f>[1]!Data[[#This Row],[Profit]]/[1]!Data[[#This Row],[Revenue generated]]</f>
        <v>0.92515319474402069</v>
      </c>
      <c r="Z76" s="6" t="str">
        <f>IF([1]!Data[[#This Row],[Stock levels]]&lt;20,"Low Stock","Healthy")</f>
        <v>Healthy</v>
      </c>
      <c r="AA76" s="6" t="str">
        <f>IF([1]!Data[[#This Row],[Defect rates]]&gt;3,"High Risk",
IF([1]!Data[[#This Row],[Defect rates]]&gt;1,"Medium Risk","Low Risk"))</f>
        <v>Low Risk</v>
      </c>
      <c r="AB76" s="7">
        <f>IF([1]!Data[[#This Row],[Inspection results]]="Pass",1,
IF([1]!Data[[#This Row],[Inspection results]]="Pending",0.5,0))</f>
        <v>0</v>
      </c>
    </row>
    <row r="77" spans="1:28" x14ac:dyDescent="0.3">
      <c r="A77" s="8" t="s">
        <v>8</v>
      </c>
      <c r="B77" s="9" t="s">
        <v>101</v>
      </c>
      <c r="C77" s="10">
        <v>92.996884233970604</v>
      </c>
      <c r="D77" s="9">
        <v>29</v>
      </c>
      <c r="E77" s="9">
        <v>106</v>
      </c>
      <c r="F77" s="10">
        <v>1889.07358977933</v>
      </c>
      <c r="G77" s="9">
        <v>16</v>
      </c>
      <c r="H77" s="9">
        <v>20</v>
      </c>
      <c r="I77" s="9">
        <v>56</v>
      </c>
      <c r="J77" s="9">
        <v>10</v>
      </c>
      <c r="K77" s="9" t="s">
        <v>16</v>
      </c>
      <c r="L77" s="10">
        <v>2.47389776104546</v>
      </c>
      <c r="M77" s="9" t="s">
        <v>12</v>
      </c>
      <c r="N77" s="9" t="s">
        <v>34</v>
      </c>
      <c r="O77" s="9">
        <v>759</v>
      </c>
      <c r="P77" s="9">
        <v>11</v>
      </c>
      <c r="Q77" s="10">
        <v>48.064782640006499</v>
      </c>
      <c r="R77" s="9" t="s">
        <v>36</v>
      </c>
      <c r="S77" s="11">
        <v>2.0300690886687498</v>
      </c>
      <c r="T77" s="9" t="s">
        <v>13</v>
      </c>
      <c r="U77" s="9" t="s">
        <v>14</v>
      </c>
      <c r="V77" s="10">
        <v>873.12964801765099</v>
      </c>
      <c r="W77" s="10">
        <f>[1]!Data[[#This Row],[Manufacturing costs]]+[1]!Data[[#This Row],[Shipping costs]]+[1]!Data[[#This Row],[Costs]]</f>
        <v>923.66832841870291</v>
      </c>
      <c r="X77" s="10">
        <f>[1]!Data[[#This Row],[Revenue generated]]- [1]!Data[[#This Row],[Total Cost]]</f>
        <v>965.40526136062704</v>
      </c>
      <c r="Y77" s="12">
        <f>[1]!Data[[#This Row],[Profit]]/[1]!Data[[#This Row],[Revenue generated]]</f>
        <v>0.51104693146093894</v>
      </c>
      <c r="Z77" s="13" t="str">
        <f>IF([1]!Data[[#This Row],[Stock levels]]&lt;20,"Low Stock","Healthy")</f>
        <v>Low Stock</v>
      </c>
      <c r="AA77" s="13" t="str">
        <f>IF([1]!Data[[#This Row],[Defect rates]]&gt;3,"High Risk",
IF([1]!Data[[#This Row],[Defect rates]]&gt;1,"Medium Risk","Low Risk"))</f>
        <v>Medium Risk</v>
      </c>
      <c r="AB77" s="14">
        <f>IF([1]!Data[[#This Row],[Inspection results]]="Pass",1,
IF([1]!Data[[#This Row],[Inspection results]]="Pending",0.5,0))</f>
        <v>1</v>
      </c>
    </row>
    <row r="78" spans="1:28" x14ac:dyDescent="0.3">
      <c r="A78" s="1" t="s">
        <v>0</v>
      </c>
      <c r="B78" s="2" t="s">
        <v>102</v>
      </c>
      <c r="C78" s="3">
        <v>69.108799547430294</v>
      </c>
      <c r="D78" s="2">
        <v>23</v>
      </c>
      <c r="E78" s="2">
        <v>241</v>
      </c>
      <c r="F78" s="3">
        <v>5328.3759842977497</v>
      </c>
      <c r="G78" s="2">
        <v>38</v>
      </c>
      <c r="H78" s="2">
        <v>1</v>
      </c>
      <c r="I78" s="2">
        <v>22</v>
      </c>
      <c r="J78" s="2">
        <v>10</v>
      </c>
      <c r="K78" s="2" t="s">
        <v>10</v>
      </c>
      <c r="L78" s="3">
        <v>7.0545383368369201</v>
      </c>
      <c r="M78" s="2" t="s">
        <v>33</v>
      </c>
      <c r="N78" s="2" t="s">
        <v>26</v>
      </c>
      <c r="O78" s="2">
        <v>985</v>
      </c>
      <c r="P78" s="2">
        <v>24</v>
      </c>
      <c r="Q78" s="3">
        <v>64.323597795600193</v>
      </c>
      <c r="R78" s="2" t="s">
        <v>5</v>
      </c>
      <c r="S78" s="4">
        <v>2.1800374515822099</v>
      </c>
      <c r="T78" s="2" t="s">
        <v>20</v>
      </c>
      <c r="U78" s="2" t="s">
        <v>21</v>
      </c>
      <c r="V78" s="3">
        <v>997.41345013319403</v>
      </c>
      <c r="W78" s="3">
        <f>[1]!Data[[#This Row],[Manufacturing costs]]+[1]!Data[[#This Row],[Shipping costs]]+[1]!Data[[#This Row],[Costs]]</f>
        <v>1068.7915862656312</v>
      </c>
      <c r="X78" s="3">
        <f>[1]!Data[[#This Row],[Revenue generated]]- [1]!Data[[#This Row],[Total Cost]]</f>
        <v>4259.5843980321188</v>
      </c>
      <c r="Y78" s="5">
        <f>[1]!Data[[#This Row],[Profit]]/[1]!Data[[#This Row],[Revenue generated]]</f>
        <v>0.79941513335108771</v>
      </c>
      <c r="Z78" s="6" t="str">
        <f>IF([1]!Data[[#This Row],[Stock levels]]&lt;20,"Low Stock","Healthy")</f>
        <v>Healthy</v>
      </c>
      <c r="AA78" s="6" t="str">
        <f>IF([1]!Data[[#This Row],[Defect rates]]&gt;3,"High Risk",
IF([1]!Data[[#This Row],[Defect rates]]&gt;1,"Medium Risk","Low Risk"))</f>
        <v>Medium Risk</v>
      </c>
      <c r="AB78" s="7">
        <f>IF([1]!Data[[#This Row],[Inspection results]]="Pass",1,
IF([1]!Data[[#This Row],[Inspection results]]="Pending",0.5,0))</f>
        <v>0.5</v>
      </c>
    </row>
    <row r="79" spans="1:28" x14ac:dyDescent="0.3">
      <c r="A79" s="8" t="s">
        <v>0</v>
      </c>
      <c r="B79" s="9" t="s">
        <v>103</v>
      </c>
      <c r="C79" s="10">
        <v>57.449742958971399</v>
      </c>
      <c r="D79" s="9">
        <v>14</v>
      </c>
      <c r="E79" s="9">
        <v>359</v>
      </c>
      <c r="F79" s="10">
        <v>2483.7601775427902</v>
      </c>
      <c r="G79" s="9">
        <v>96</v>
      </c>
      <c r="H79" s="9">
        <v>28</v>
      </c>
      <c r="I79" s="9">
        <v>57</v>
      </c>
      <c r="J79" s="9">
        <v>4</v>
      </c>
      <c r="K79" s="9" t="s">
        <v>2</v>
      </c>
      <c r="L79" s="10">
        <v>6.7809466256178901</v>
      </c>
      <c r="M79" s="9" t="s">
        <v>12</v>
      </c>
      <c r="N79" s="9" t="s">
        <v>18</v>
      </c>
      <c r="O79" s="9">
        <v>334</v>
      </c>
      <c r="P79" s="9">
        <v>5</v>
      </c>
      <c r="Q79" s="10">
        <v>42.952444748991802</v>
      </c>
      <c r="R79" s="9" t="s">
        <v>36</v>
      </c>
      <c r="S79" s="11">
        <v>3.0551418183075398</v>
      </c>
      <c r="T79" s="9" t="s">
        <v>6</v>
      </c>
      <c r="U79" s="9" t="s">
        <v>7</v>
      </c>
      <c r="V79" s="10">
        <v>852.56809891984994</v>
      </c>
      <c r="W79" s="10">
        <f>[1]!Data[[#This Row],[Manufacturing costs]]+[1]!Data[[#This Row],[Shipping costs]]+[1]!Data[[#This Row],[Costs]]</f>
        <v>902.30149029445965</v>
      </c>
      <c r="X79" s="10">
        <f>[1]!Data[[#This Row],[Revenue generated]]- [1]!Data[[#This Row],[Total Cost]]</f>
        <v>1581.4586872483305</v>
      </c>
      <c r="Y79" s="12">
        <f>[1]!Data[[#This Row],[Profit]]/[1]!Data[[#This Row],[Revenue generated]]</f>
        <v>0.63671955994273333</v>
      </c>
      <c r="Z79" s="13" t="str">
        <f>IF([1]!Data[[#This Row],[Stock levels]]&lt;20,"Low Stock","Healthy")</f>
        <v>Healthy</v>
      </c>
      <c r="AA79" s="13" t="str">
        <f>IF([1]!Data[[#This Row],[Defect rates]]&gt;3,"High Risk",
IF([1]!Data[[#This Row],[Defect rates]]&gt;1,"Medium Risk","Low Risk"))</f>
        <v>High Risk</v>
      </c>
      <c r="AB79" s="14">
        <f>IF([1]!Data[[#This Row],[Inspection results]]="Pass",1,
IF([1]!Data[[#This Row],[Inspection results]]="Pending",0.5,0))</f>
        <v>1</v>
      </c>
    </row>
    <row r="80" spans="1:28" x14ac:dyDescent="0.3">
      <c r="A80" s="1" t="s">
        <v>0</v>
      </c>
      <c r="B80" s="2" t="s">
        <v>104</v>
      </c>
      <c r="C80" s="3">
        <v>6.30688317611191</v>
      </c>
      <c r="D80" s="2">
        <v>50</v>
      </c>
      <c r="E80" s="2">
        <v>946</v>
      </c>
      <c r="F80" s="3">
        <v>1292.45841793775</v>
      </c>
      <c r="G80" s="2">
        <v>5</v>
      </c>
      <c r="H80" s="2">
        <v>4</v>
      </c>
      <c r="I80" s="2">
        <v>51</v>
      </c>
      <c r="J80" s="2">
        <v>5</v>
      </c>
      <c r="K80" s="2" t="s">
        <v>2</v>
      </c>
      <c r="L80" s="3">
        <v>8.4670497708619905</v>
      </c>
      <c r="M80" s="2" t="s">
        <v>17</v>
      </c>
      <c r="N80" s="2" t="s">
        <v>4</v>
      </c>
      <c r="O80" s="2">
        <v>858</v>
      </c>
      <c r="P80" s="2">
        <v>21</v>
      </c>
      <c r="Q80" s="3">
        <v>71.126514720403307</v>
      </c>
      <c r="R80" s="2" t="s">
        <v>5</v>
      </c>
      <c r="S80" s="4">
        <v>4.0968813324704501</v>
      </c>
      <c r="T80" s="2" t="s">
        <v>28</v>
      </c>
      <c r="U80" s="2" t="s">
        <v>14</v>
      </c>
      <c r="V80" s="3">
        <v>323.59220343132199</v>
      </c>
      <c r="W80" s="3">
        <f>[1]!Data[[#This Row],[Manufacturing costs]]+[1]!Data[[#This Row],[Shipping costs]]+[1]!Data[[#This Row],[Costs]]</f>
        <v>403.18576792258727</v>
      </c>
      <c r="X80" s="3">
        <f>[1]!Data[[#This Row],[Revenue generated]]- [1]!Data[[#This Row],[Total Cost]]</f>
        <v>889.27265001516275</v>
      </c>
      <c r="Y80" s="5">
        <f>[1]!Data[[#This Row],[Profit]]/[1]!Data[[#This Row],[Revenue generated]]</f>
        <v>0.68804739686255323</v>
      </c>
      <c r="Z80" s="6" t="str">
        <f>IF([1]!Data[[#This Row],[Stock levels]]&lt;20,"Low Stock","Healthy")</f>
        <v>Low Stock</v>
      </c>
      <c r="AA80" s="6" t="str">
        <f>IF([1]!Data[[#This Row],[Defect rates]]&gt;3,"High Risk",
IF([1]!Data[[#This Row],[Defect rates]]&gt;1,"Medium Risk","Low Risk"))</f>
        <v>High Risk</v>
      </c>
      <c r="AB80" s="7">
        <f>IF([1]!Data[[#This Row],[Inspection results]]="Pass",1,
IF([1]!Data[[#This Row],[Inspection results]]="Pending",0.5,0))</f>
        <v>0.5</v>
      </c>
    </row>
    <row r="81" spans="1:28" x14ac:dyDescent="0.3">
      <c r="A81" s="8" t="s">
        <v>0</v>
      </c>
      <c r="B81" s="9" t="s">
        <v>105</v>
      </c>
      <c r="C81" s="10">
        <v>57.057031221103202</v>
      </c>
      <c r="D81" s="9">
        <v>56</v>
      </c>
      <c r="E81" s="9">
        <v>198</v>
      </c>
      <c r="F81" s="10">
        <v>7888.7232684270803</v>
      </c>
      <c r="G81" s="9">
        <v>31</v>
      </c>
      <c r="H81" s="9">
        <v>25</v>
      </c>
      <c r="I81" s="9">
        <v>20</v>
      </c>
      <c r="J81" s="9">
        <v>1</v>
      </c>
      <c r="K81" s="9" t="s">
        <v>2</v>
      </c>
      <c r="L81" s="10">
        <v>6.49632536429504</v>
      </c>
      <c r="M81" s="9" t="s">
        <v>3</v>
      </c>
      <c r="N81" s="9" t="s">
        <v>26</v>
      </c>
      <c r="O81" s="9">
        <v>228</v>
      </c>
      <c r="P81" s="9">
        <v>12</v>
      </c>
      <c r="Q81" s="10">
        <v>57.870902924036201</v>
      </c>
      <c r="R81" s="9" t="s">
        <v>5</v>
      </c>
      <c r="S81" s="11">
        <v>0.16587162748060799</v>
      </c>
      <c r="T81" s="9" t="s">
        <v>13</v>
      </c>
      <c r="U81" s="9" t="s">
        <v>14</v>
      </c>
      <c r="V81" s="10">
        <v>351.50421933503799</v>
      </c>
      <c r="W81" s="10">
        <f>[1]!Data[[#This Row],[Manufacturing costs]]+[1]!Data[[#This Row],[Shipping costs]]+[1]!Data[[#This Row],[Costs]]</f>
        <v>415.87144762336925</v>
      </c>
      <c r="X81" s="10">
        <f>[1]!Data[[#This Row],[Revenue generated]]- [1]!Data[[#This Row],[Total Cost]]</f>
        <v>7472.8518208037112</v>
      </c>
      <c r="Y81" s="12">
        <f>[1]!Data[[#This Row],[Profit]]/[1]!Data[[#This Row],[Revenue generated]]</f>
        <v>0.94728279425292994</v>
      </c>
      <c r="Z81" s="13" t="str">
        <f>IF([1]!Data[[#This Row],[Stock levels]]&lt;20,"Low Stock","Healthy")</f>
        <v>Healthy</v>
      </c>
      <c r="AA81" s="13" t="str">
        <f>IF([1]!Data[[#This Row],[Defect rates]]&gt;3,"High Risk",
IF([1]!Data[[#This Row],[Defect rates]]&gt;1,"Medium Risk","Low Risk"))</f>
        <v>Low Risk</v>
      </c>
      <c r="AB81" s="14">
        <f>IF([1]!Data[[#This Row],[Inspection results]]="Pass",1,
IF([1]!Data[[#This Row],[Inspection results]]="Pending",0.5,0))</f>
        <v>0.5</v>
      </c>
    </row>
    <row r="82" spans="1:28" x14ac:dyDescent="0.3">
      <c r="A82" s="1" t="s">
        <v>8</v>
      </c>
      <c r="B82" s="2" t="s">
        <v>106</v>
      </c>
      <c r="C82" s="3">
        <v>91.128318350444303</v>
      </c>
      <c r="D82" s="2">
        <v>75</v>
      </c>
      <c r="E82" s="2">
        <v>872</v>
      </c>
      <c r="F82" s="3">
        <v>8651.67268298206</v>
      </c>
      <c r="G82" s="2">
        <v>39</v>
      </c>
      <c r="H82" s="2">
        <v>14</v>
      </c>
      <c r="I82" s="2">
        <v>41</v>
      </c>
      <c r="J82" s="2">
        <v>2</v>
      </c>
      <c r="K82" s="2" t="s">
        <v>16</v>
      </c>
      <c r="L82" s="3">
        <v>2.8331846794189701</v>
      </c>
      <c r="M82" s="2" t="s">
        <v>3</v>
      </c>
      <c r="N82" s="2" t="s">
        <v>34</v>
      </c>
      <c r="O82" s="2">
        <v>202</v>
      </c>
      <c r="P82" s="2">
        <v>5</v>
      </c>
      <c r="Q82" s="3">
        <v>76.961228023819999</v>
      </c>
      <c r="R82" s="2" t="s">
        <v>19</v>
      </c>
      <c r="S82" s="4">
        <v>2.8496621985053299</v>
      </c>
      <c r="T82" s="2" t="s">
        <v>28</v>
      </c>
      <c r="U82" s="2" t="s">
        <v>7</v>
      </c>
      <c r="V82" s="3">
        <v>787.77985049434403</v>
      </c>
      <c r="W82" s="3">
        <f>[1]!Data[[#This Row],[Manufacturing costs]]+[1]!Data[[#This Row],[Shipping costs]]+[1]!Data[[#This Row],[Costs]]</f>
        <v>867.57426319758304</v>
      </c>
      <c r="X82" s="3">
        <f>[1]!Data[[#This Row],[Revenue generated]]- [1]!Data[[#This Row],[Total Cost]]</f>
        <v>7784.0984197844773</v>
      </c>
      <c r="Y82" s="5">
        <f>[1]!Data[[#This Row],[Profit]]/[1]!Data[[#This Row],[Revenue generated]]</f>
        <v>0.8997217884925176</v>
      </c>
      <c r="Z82" s="6" t="str">
        <f>IF([1]!Data[[#This Row],[Stock levels]]&lt;20,"Low Stock","Healthy")</f>
        <v>Healthy</v>
      </c>
      <c r="AA82" s="6" t="str">
        <f>IF([1]!Data[[#This Row],[Defect rates]]&gt;3,"High Risk",
IF([1]!Data[[#This Row],[Defect rates]]&gt;1,"Medium Risk","Low Risk"))</f>
        <v>Medium Risk</v>
      </c>
      <c r="AB82" s="7">
        <f>IF([1]!Data[[#This Row],[Inspection results]]="Pass",1,
IF([1]!Data[[#This Row],[Inspection results]]="Pending",0.5,0))</f>
        <v>0</v>
      </c>
    </row>
    <row r="83" spans="1:28" x14ac:dyDescent="0.3">
      <c r="A83" s="8" t="s">
        <v>0</v>
      </c>
      <c r="B83" s="9" t="s">
        <v>107</v>
      </c>
      <c r="C83" s="10">
        <v>72.819206930318202</v>
      </c>
      <c r="D83" s="9">
        <v>9</v>
      </c>
      <c r="E83" s="9">
        <v>774</v>
      </c>
      <c r="F83" s="10">
        <v>4384.4134000458598</v>
      </c>
      <c r="G83" s="9">
        <v>48</v>
      </c>
      <c r="H83" s="9">
        <v>6</v>
      </c>
      <c r="I83" s="9">
        <v>8</v>
      </c>
      <c r="J83" s="9">
        <v>5</v>
      </c>
      <c r="K83" s="9" t="s">
        <v>2</v>
      </c>
      <c r="L83" s="10">
        <v>4.0662775015120403</v>
      </c>
      <c r="M83" s="9" t="s">
        <v>3</v>
      </c>
      <c r="N83" s="9" t="s">
        <v>23</v>
      </c>
      <c r="O83" s="9">
        <v>698</v>
      </c>
      <c r="P83" s="9">
        <v>1</v>
      </c>
      <c r="Q83" s="10">
        <v>19.789592941903599</v>
      </c>
      <c r="R83" s="9" t="s">
        <v>5</v>
      </c>
      <c r="S83" s="11">
        <v>2.54754712154871</v>
      </c>
      <c r="T83" s="9" t="s">
        <v>20</v>
      </c>
      <c r="U83" s="9" t="s">
        <v>7</v>
      </c>
      <c r="V83" s="10">
        <v>276.77833594679799</v>
      </c>
      <c r="W83" s="10">
        <f>[1]!Data[[#This Row],[Manufacturing costs]]+[1]!Data[[#This Row],[Shipping costs]]+[1]!Data[[#This Row],[Costs]]</f>
        <v>300.63420639021365</v>
      </c>
      <c r="X83" s="10">
        <f>[1]!Data[[#This Row],[Revenue generated]]- [1]!Data[[#This Row],[Total Cost]]</f>
        <v>4083.7791936556459</v>
      </c>
      <c r="Y83" s="12">
        <f>[1]!Data[[#This Row],[Profit]]/[1]!Data[[#This Row],[Revenue generated]]</f>
        <v>0.93143114506787406</v>
      </c>
      <c r="Z83" s="13" t="str">
        <f>IF([1]!Data[[#This Row],[Stock levels]]&lt;20,"Low Stock","Healthy")</f>
        <v>Healthy</v>
      </c>
      <c r="AA83" s="13" t="str">
        <f>IF([1]!Data[[#This Row],[Defect rates]]&gt;3,"High Risk",
IF([1]!Data[[#This Row],[Defect rates]]&gt;1,"Medium Risk","Low Risk"))</f>
        <v>Medium Risk</v>
      </c>
      <c r="AB83" s="14">
        <f>IF([1]!Data[[#This Row],[Inspection results]]="Pass",1,
IF([1]!Data[[#This Row],[Inspection results]]="Pending",0.5,0))</f>
        <v>0.5</v>
      </c>
    </row>
    <row r="84" spans="1:28" x14ac:dyDescent="0.3">
      <c r="A84" s="1" t="s">
        <v>8</v>
      </c>
      <c r="B84" s="2" t="s">
        <v>108</v>
      </c>
      <c r="C84" s="3">
        <v>17.034930739467899</v>
      </c>
      <c r="D84" s="2">
        <v>13</v>
      </c>
      <c r="E84" s="2">
        <v>336</v>
      </c>
      <c r="F84" s="3">
        <v>2943.3818676094502</v>
      </c>
      <c r="G84" s="2">
        <v>42</v>
      </c>
      <c r="H84" s="2">
        <v>19</v>
      </c>
      <c r="I84" s="2">
        <v>72</v>
      </c>
      <c r="J84" s="2">
        <v>1</v>
      </c>
      <c r="K84" s="2" t="s">
        <v>10</v>
      </c>
      <c r="L84" s="3">
        <v>4.7081818735419301</v>
      </c>
      <c r="M84" s="2" t="s">
        <v>33</v>
      </c>
      <c r="N84" s="2" t="s">
        <v>4</v>
      </c>
      <c r="O84" s="2">
        <v>955</v>
      </c>
      <c r="P84" s="2">
        <v>26</v>
      </c>
      <c r="Q84" s="3">
        <v>4.4652784349432402</v>
      </c>
      <c r="R84" s="2" t="s">
        <v>5</v>
      </c>
      <c r="S84" s="4">
        <v>4.1378770486223502</v>
      </c>
      <c r="T84" s="2" t="s">
        <v>6</v>
      </c>
      <c r="U84" s="2" t="s">
        <v>14</v>
      </c>
      <c r="V84" s="3">
        <v>589.97855562804</v>
      </c>
      <c r="W84" s="3">
        <f>[1]!Data[[#This Row],[Manufacturing costs]]+[1]!Data[[#This Row],[Shipping costs]]+[1]!Data[[#This Row],[Costs]]</f>
        <v>599.15201593652512</v>
      </c>
      <c r="X84" s="3">
        <f>[1]!Data[[#This Row],[Revenue generated]]- [1]!Data[[#This Row],[Total Cost]]</f>
        <v>2344.2298516729252</v>
      </c>
      <c r="Y84" s="5">
        <f>[1]!Data[[#This Row],[Profit]]/[1]!Data[[#This Row],[Revenue generated]]</f>
        <v>0.79644095027902617</v>
      </c>
      <c r="Z84" s="6" t="str">
        <f>IF([1]!Data[[#This Row],[Stock levels]]&lt;20,"Low Stock","Healthy")</f>
        <v>Healthy</v>
      </c>
      <c r="AA84" s="6" t="str">
        <f>IF([1]!Data[[#This Row],[Defect rates]]&gt;3,"High Risk",
IF([1]!Data[[#This Row],[Defect rates]]&gt;1,"Medium Risk","Low Risk"))</f>
        <v>High Risk</v>
      </c>
      <c r="AB84" s="7">
        <f>IF([1]!Data[[#This Row],[Inspection results]]="Pass",1,
IF([1]!Data[[#This Row],[Inspection results]]="Pending",0.5,0))</f>
        <v>0.5</v>
      </c>
    </row>
    <row r="85" spans="1:28" x14ac:dyDescent="0.3">
      <c r="A85" s="8" t="s">
        <v>0</v>
      </c>
      <c r="B85" s="9" t="s">
        <v>109</v>
      </c>
      <c r="C85" s="10">
        <v>68.911246211606297</v>
      </c>
      <c r="D85" s="9">
        <v>82</v>
      </c>
      <c r="E85" s="9">
        <v>663</v>
      </c>
      <c r="F85" s="10">
        <v>2411.7546321104901</v>
      </c>
      <c r="G85" s="9">
        <v>65</v>
      </c>
      <c r="H85" s="9">
        <v>24</v>
      </c>
      <c r="I85" s="9">
        <v>7</v>
      </c>
      <c r="J85" s="9">
        <v>8</v>
      </c>
      <c r="K85" s="9" t="s">
        <v>2</v>
      </c>
      <c r="L85" s="10">
        <v>4.94983957799694</v>
      </c>
      <c r="M85" s="9" t="s">
        <v>12</v>
      </c>
      <c r="N85" s="9" t="s">
        <v>26</v>
      </c>
      <c r="O85" s="9">
        <v>443</v>
      </c>
      <c r="P85" s="9">
        <v>5</v>
      </c>
      <c r="Q85" s="10">
        <v>97.730593800533001</v>
      </c>
      <c r="R85" s="9" t="s">
        <v>19</v>
      </c>
      <c r="S85" s="11">
        <v>0.77300613406724705</v>
      </c>
      <c r="T85" s="9" t="s">
        <v>6</v>
      </c>
      <c r="U85" s="9" t="s">
        <v>21</v>
      </c>
      <c r="V85" s="10">
        <v>682.97101822609295</v>
      </c>
      <c r="W85" s="10">
        <f>[1]!Data[[#This Row],[Manufacturing costs]]+[1]!Data[[#This Row],[Shipping costs]]+[1]!Data[[#This Row],[Costs]]</f>
        <v>785.65145160462293</v>
      </c>
      <c r="X85" s="10">
        <f>[1]!Data[[#This Row],[Revenue generated]]- [1]!Data[[#This Row],[Total Cost]]</f>
        <v>1626.1031805058672</v>
      </c>
      <c r="Y85" s="12">
        <f>[1]!Data[[#This Row],[Profit]]/[1]!Data[[#This Row],[Revenue generated]]</f>
        <v>0.67424072036834393</v>
      </c>
      <c r="Z85" s="13" t="str">
        <f>IF([1]!Data[[#This Row],[Stock levels]]&lt;20,"Low Stock","Healthy")</f>
        <v>Healthy</v>
      </c>
      <c r="AA85" s="13" t="str">
        <f>IF([1]!Data[[#This Row],[Defect rates]]&gt;3,"High Risk",
IF([1]!Data[[#This Row],[Defect rates]]&gt;1,"Medium Risk","Low Risk"))</f>
        <v>Low Risk</v>
      </c>
      <c r="AB85" s="14">
        <f>IF([1]!Data[[#This Row],[Inspection results]]="Pass",1,
IF([1]!Data[[#This Row],[Inspection results]]="Pending",0.5,0))</f>
        <v>0</v>
      </c>
    </row>
    <row r="86" spans="1:28" x14ac:dyDescent="0.3">
      <c r="A86" s="1" t="s">
        <v>0</v>
      </c>
      <c r="B86" s="2" t="s">
        <v>110</v>
      </c>
      <c r="C86" s="3">
        <v>89.104367292102197</v>
      </c>
      <c r="D86" s="2">
        <v>99</v>
      </c>
      <c r="E86" s="2">
        <v>618</v>
      </c>
      <c r="F86" s="3">
        <v>2048.2900998487098</v>
      </c>
      <c r="G86" s="2">
        <v>73</v>
      </c>
      <c r="H86" s="2">
        <v>26</v>
      </c>
      <c r="I86" s="2">
        <v>80</v>
      </c>
      <c r="J86" s="2">
        <v>10</v>
      </c>
      <c r="K86" s="2" t="s">
        <v>10</v>
      </c>
      <c r="L86" s="3">
        <v>8.3816156249226292</v>
      </c>
      <c r="M86" s="2" t="s">
        <v>17</v>
      </c>
      <c r="N86" s="2" t="s">
        <v>34</v>
      </c>
      <c r="O86" s="2">
        <v>589</v>
      </c>
      <c r="P86" s="2">
        <v>22</v>
      </c>
      <c r="Q86" s="3">
        <v>33.808636513209002</v>
      </c>
      <c r="R86" s="2" t="s">
        <v>36</v>
      </c>
      <c r="S86" s="4">
        <v>4.8434565771180402</v>
      </c>
      <c r="T86" s="2" t="s">
        <v>13</v>
      </c>
      <c r="U86" s="2" t="s">
        <v>7</v>
      </c>
      <c r="V86" s="3">
        <v>465.45700596368698</v>
      </c>
      <c r="W86" s="3">
        <f>[1]!Data[[#This Row],[Manufacturing costs]]+[1]!Data[[#This Row],[Shipping costs]]+[1]!Data[[#This Row],[Costs]]</f>
        <v>507.64725810181864</v>
      </c>
      <c r="X86" s="3">
        <f>[1]!Data[[#This Row],[Revenue generated]]- [1]!Data[[#This Row],[Total Cost]]</f>
        <v>1540.6428417468912</v>
      </c>
      <c r="Y86" s="5">
        <f>[1]!Data[[#This Row],[Profit]]/[1]!Data[[#This Row],[Revenue generated]]</f>
        <v>0.7521604688030693</v>
      </c>
      <c r="Z86" s="6" t="str">
        <f>IF([1]!Data[[#This Row],[Stock levels]]&lt;20,"Low Stock","Healthy")</f>
        <v>Healthy</v>
      </c>
      <c r="AA86" s="6" t="str">
        <f>IF([1]!Data[[#This Row],[Defect rates]]&gt;3,"High Risk",
IF([1]!Data[[#This Row],[Defect rates]]&gt;1,"Medium Risk","Low Risk"))</f>
        <v>High Risk</v>
      </c>
      <c r="AB86" s="7">
        <f>IF([1]!Data[[#This Row],[Inspection results]]="Pass",1,
IF([1]!Data[[#This Row],[Inspection results]]="Pending",0.5,0))</f>
        <v>1</v>
      </c>
    </row>
    <row r="87" spans="1:28" x14ac:dyDescent="0.3">
      <c r="A87" s="8" t="s">
        <v>29</v>
      </c>
      <c r="B87" s="9" t="s">
        <v>111</v>
      </c>
      <c r="C87" s="10">
        <v>76.962994415193805</v>
      </c>
      <c r="D87" s="9">
        <v>83</v>
      </c>
      <c r="E87" s="9">
        <v>25</v>
      </c>
      <c r="F87" s="10">
        <v>8684.6130592538502</v>
      </c>
      <c r="G87" s="9">
        <v>15</v>
      </c>
      <c r="H87" s="9">
        <v>18</v>
      </c>
      <c r="I87" s="9">
        <v>66</v>
      </c>
      <c r="J87" s="9">
        <v>2</v>
      </c>
      <c r="K87" s="9" t="s">
        <v>16</v>
      </c>
      <c r="L87" s="10">
        <v>8.2491687048717193</v>
      </c>
      <c r="M87" s="9" t="s">
        <v>17</v>
      </c>
      <c r="N87" s="9" t="s">
        <v>34</v>
      </c>
      <c r="O87" s="9">
        <v>211</v>
      </c>
      <c r="P87" s="9">
        <v>2</v>
      </c>
      <c r="Q87" s="10">
        <v>69.929345518672307</v>
      </c>
      <c r="R87" s="9" t="s">
        <v>19</v>
      </c>
      <c r="S87" s="11">
        <v>1.3744289997457499</v>
      </c>
      <c r="T87" s="9" t="s">
        <v>6</v>
      </c>
      <c r="U87" s="9" t="s">
        <v>7</v>
      </c>
      <c r="V87" s="10">
        <v>842.68683000464102</v>
      </c>
      <c r="W87" s="10">
        <f>[1]!Data[[#This Row],[Manufacturing costs]]+[1]!Data[[#This Row],[Shipping costs]]+[1]!Data[[#This Row],[Costs]]</f>
        <v>920.86534422818499</v>
      </c>
      <c r="X87" s="10">
        <f>[1]!Data[[#This Row],[Revenue generated]]- [1]!Data[[#This Row],[Total Cost]]</f>
        <v>7763.7477150256655</v>
      </c>
      <c r="Y87" s="12">
        <f>[1]!Data[[#This Row],[Profit]]/[1]!Data[[#This Row],[Revenue generated]]</f>
        <v>0.89396587528479909</v>
      </c>
      <c r="Z87" s="13" t="str">
        <f>IF([1]!Data[[#This Row],[Stock levels]]&lt;20,"Low Stock","Healthy")</f>
        <v>Low Stock</v>
      </c>
      <c r="AA87" s="13" t="str">
        <f>IF([1]!Data[[#This Row],[Defect rates]]&gt;3,"High Risk",
IF([1]!Data[[#This Row],[Defect rates]]&gt;1,"Medium Risk","Low Risk"))</f>
        <v>Medium Risk</v>
      </c>
      <c r="AB87" s="14">
        <f>IF([1]!Data[[#This Row],[Inspection results]]="Pass",1,
IF([1]!Data[[#This Row],[Inspection results]]="Pending",0.5,0))</f>
        <v>0</v>
      </c>
    </row>
    <row r="88" spans="1:28" x14ac:dyDescent="0.3">
      <c r="A88" s="1" t="s">
        <v>8</v>
      </c>
      <c r="B88" s="2" t="s">
        <v>112</v>
      </c>
      <c r="C88" s="3">
        <v>19.9981769404042</v>
      </c>
      <c r="D88" s="2">
        <v>18</v>
      </c>
      <c r="E88" s="2">
        <v>223</v>
      </c>
      <c r="F88" s="3">
        <v>1229.59102856498</v>
      </c>
      <c r="G88" s="2">
        <v>32</v>
      </c>
      <c r="H88" s="2">
        <v>14</v>
      </c>
      <c r="I88" s="2">
        <v>22</v>
      </c>
      <c r="J88" s="2">
        <v>6</v>
      </c>
      <c r="K88" s="2" t="s">
        <v>2</v>
      </c>
      <c r="L88" s="3">
        <v>1.4543053101535499</v>
      </c>
      <c r="M88" s="2" t="s">
        <v>12</v>
      </c>
      <c r="N88" s="2" t="s">
        <v>4</v>
      </c>
      <c r="O88" s="2">
        <v>569</v>
      </c>
      <c r="P88" s="2">
        <v>18</v>
      </c>
      <c r="Q88" s="3">
        <v>74.608969995194599</v>
      </c>
      <c r="R88" s="2" t="s">
        <v>36</v>
      </c>
      <c r="S88" s="4">
        <v>2.0515129307662399</v>
      </c>
      <c r="T88" s="2" t="s">
        <v>20</v>
      </c>
      <c r="U88" s="2" t="s">
        <v>21</v>
      </c>
      <c r="V88" s="3">
        <v>264.25488983586598</v>
      </c>
      <c r="W88" s="3">
        <f>[1]!Data[[#This Row],[Manufacturing costs]]+[1]!Data[[#This Row],[Shipping costs]]+[1]!Data[[#This Row],[Costs]]</f>
        <v>340.31816514121414</v>
      </c>
      <c r="X88" s="3">
        <f>[1]!Data[[#This Row],[Revenue generated]]- [1]!Data[[#This Row],[Total Cost]]</f>
        <v>889.27286342376578</v>
      </c>
      <c r="Y88" s="5">
        <f>[1]!Data[[#This Row],[Profit]]/[1]!Data[[#This Row],[Revenue generated]]</f>
        <v>0.72322653855209917</v>
      </c>
      <c r="Z88" s="6" t="str">
        <f>IF([1]!Data[[#This Row],[Stock levels]]&lt;20,"Low Stock","Healthy")</f>
        <v>Healthy</v>
      </c>
      <c r="AA88" s="6" t="str">
        <f>IF([1]!Data[[#This Row],[Defect rates]]&gt;3,"High Risk",
IF([1]!Data[[#This Row],[Defect rates]]&gt;1,"Medium Risk","Low Risk"))</f>
        <v>Medium Risk</v>
      </c>
      <c r="AB88" s="7">
        <f>IF([1]!Data[[#This Row],[Inspection results]]="Pass",1,
IF([1]!Data[[#This Row],[Inspection results]]="Pending",0.5,0))</f>
        <v>1</v>
      </c>
    </row>
    <row r="89" spans="1:28" x14ac:dyDescent="0.3">
      <c r="A89" s="8" t="s">
        <v>0</v>
      </c>
      <c r="B89" s="9" t="s">
        <v>113</v>
      </c>
      <c r="C89" s="10">
        <v>80.414036650355698</v>
      </c>
      <c r="D89" s="9">
        <v>24</v>
      </c>
      <c r="E89" s="9">
        <v>79</v>
      </c>
      <c r="F89" s="10">
        <v>5133.8467010866898</v>
      </c>
      <c r="G89" s="9">
        <v>5</v>
      </c>
      <c r="H89" s="9">
        <v>7</v>
      </c>
      <c r="I89" s="9">
        <v>55</v>
      </c>
      <c r="J89" s="9">
        <v>10</v>
      </c>
      <c r="K89" s="9" t="s">
        <v>10</v>
      </c>
      <c r="L89" s="10">
        <v>6.5758037975485299</v>
      </c>
      <c r="M89" s="9" t="s">
        <v>3</v>
      </c>
      <c r="N89" s="9" t="s">
        <v>34</v>
      </c>
      <c r="O89" s="9">
        <v>523</v>
      </c>
      <c r="P89" s="9">
        <v>17</v>
      </c>
      <c r="Q89" s="10">
        <v>28.696996824143099</v>
      </c>
      <c r="R89" s="9" t="s">
        <v>19</v>
      </c>
      <c r="S89" s="11">
        <v>3.6937377878392699</v>
      </c>
      <c r="T89" s="9" t="s">
        <v>28</v>
      </c>
      <c r="U89" s="9" t="s">
        <v>7</v>
      </c>
      <c r="V89" s="10">
        <v>879.35921773492396</v>
      </c>
      <c r="W89" s="10">
        <f>[1]!Data[[#This Row],[Manufacturing costs]]+[1]!Data[[#This Row],[Shipping costs]]+[1]!Data[[#This Row],[Costs]]</f>
        <v>914.63201835661562</v>
      </c>
      <c r="X89" s="10">
        <f>[1]!Data[[#This Row],[Revenue generated]]- [1]!Data[[#This Row],[Total Cost]]</f>
        <v>4219.2146827300739</v>
      </c>
      <c r="Y89" s="12">
        <f>[1]!Data[[#This Row],[Profit]]/[1]!Data[[#This Row],[Revenue generated]]</f>
        <v>0.82184274840870997</v>
      </c>
      <c r="Z89" s="13" t="str">
        <f>IF([1]!Data[[#This Row],[Stock levels]]&lt;20,"Low Stock","Healthy")</f>
        <v>Low Stock</v>
      </c>
      <c r="AA89" s="13" t="str">
        <f>IF([1]!Data[[#This Row],[Defect rates]]&gt;3,"High Risk",
IF([1]!Data[[#This Row],[Defect rates]]&gt;1,"Medium Risk","Low Risk"))</f>
        <v>High Risk</v>
      </c>
      <c r="AB89" s="14">
        <f>IF([1]!Data[[#This Row],[Inspection results]]="Pass",1,
IF([1]!Data[[#This Row],[Inspection results]]="Pending",0.5,0))</f>
        <v>0</v>
      </c>
    </row>
    <row r="90" spans="1:28" x14ac:dyDescent="0.3">
      <c r="A90" s="1" t="s">
        <v>29</v>
      </c>
      <c r="B90" s="2" t="s">
        <v>114</v>
      </c>
      <c r="C90" s="3">
        <v>75.270406975724995</v>
      </c>
      <c r="D90" s="2">
        <v>58</v>
      </c>
      <c r="E90" s="2">
        <v>737</v>
      </c>
      <c r="F90" s="3">
        <v>9444.7420330629793</v>
      </c>
      <c r="G90" s="2">
        <v>60</v>
      </c>
      <c r="H90" s="2">
        <v>18</v>
      </c>
      <c r="I90" s="2">
        <v>85</v>
      </c>
      <c r="J90" s="2">
        <v>7</v>
      </c>
      <c r="K90" s="2" t="s">
        <v>10</v>
      </c>
      <c r="L90" s="3">
        <v>3.8012531329310701</v>
      </c>
      <c r="M90" s="2" t="s">
        <v>33</v>
      </c>
      <c r="N90" s="2" t="s">
        <v>4</v>
      </c>
      <c r="O90" s="2">
        <v>953</v>
      </c>
      <c r="P90" s="2">
        <v>11</v>
      </c>
      <c r="Q90" s="3">
        <v>68.1849190570411</v>
      </c>
      <c r="R90" s="2" t="s">
        <v>5</v>
      </c>
      <c r="S90" s="4">
        <v>0.722204401882931</v>
      </c>
      <c r="T90" s="2" t="s">
        <v>28</v>
      </c>
      <c r="U90" s="2" t="s">
        <v>21</v>
      </c>
      <c r="V90" s="3">
        <v>103.916247960704</v>
      </c>
      <c r="W90" s="3">
        <f>[1]!Data[[#This Row],[Manufacturing costs]]+[1]!Data[[#This Row],[Shipping costs]]+[1]!Data[[#This Row],[Costs]]</f>
        <v>175.90242015067616</v>
      </c>
      <c r="X90" s="3">
        <f>[1]!Data[[#This Row],[Revenue generated]]- [1]!Data[[#This Row],[Total Cost]]</f>
        <v>9268.839612912303</v>
      </c>
      <c r="Y90" s="5">
        <f>[1]!Data[[#This Row],[Profit]]/[1]!Data[[#This Row],[Revenue generated]]</f>
        <v>0.98137562470897577</v>
      </c>
      <c r="Z90" s="6" t="str">
        <f>IF([1]!Data[[#This Row],[Stock levels]]&lt;20,"Low Stock","Healthy")</f>
        <v>Healthy</v>
      </c>
      <c r="AA90" s="6" t="str">
        <f>IF([1]!Data[[#This Row],[Defect rates]]&gt;3,"High Risk",
IF([1]!Data[[#This Row],[Defect rates]]&gt;1,"Medium Risk","Low Risk"))</f>
        <v>Low Risk</v>
      </c>
      <c r="AB90" s="7">
        <f>IF([1]!Data[[#This Row],[Inspection results]]="Pass",1,
IF([1]!Data[[#This Row],[Inspection results]]="Pending",0.5,0))</f>
        <v>0.5</v>
      </c>
    </row>
    <row r="91" spans="1:28" x14ac:dyDescent="0.3">
      <c r="A91" s="8" t="s">
        <v>29</v>
      </c>
      <c r="B91" s="9" t="s">
        <v>115</v>
      </c>
      <c r="C91" s="10">
        <v>97.760085581938597</v>
      </c>
      <c r="D91" s="9">
        <v>10</v>
      </c>
      <c r="E91" s="9">
        <v>134</v>
      </c>
      <c r="F91" s="10">
        <v>5924.6825668532301</v>
      </c>
      <c r="G91" s="9">
        <v>90</v>
      </c>
      <c r="H91" s="9">
        <v>1</v>
      </c>
      <c r="I91" s="9">
        <v>27</v>
      </c>
      <c r="J91" s="9">
        <v>8</v>
      </c>
      <c r="K91" s="9" t="s">
        <v>2</v>
      </c>
      <c r="L91" s="10">
        <v>9.9298162452772498</v>
      </c>
      <c r="M91" s="9" t="s">
        <v>12</v>
      </c>
      <c r="N91" s="9" t="s">
        <v>18</v>
      </c>
      <c r="O91" s="9">
        <v>370</v>
      </c>
      <c r="P91" s="9">
        <v>11</v>
      </c>
      <c r="Q91" s="10">
        <v>46.603873381644398</v>
      </c>
      <c r="R91" s="9" t="s">
        <v>5</v>
      </c>
      <c r="S91" s="11">
        <v>1.9076657339590699</v>
      </c>
      <c r="T91" s="9" t="s">
        <v>20</v>
      </c>
      <c r="U91" s="9" t="s">
        <v>7</v>
      </c>
      <c r="V91" s="10">
        <v>517.49997392906005</v>
      </c>
      <c r="W91" s="10">
        <f>[1]!Data[[#This Row],[Manufacturing costs]]+[1]!Data[[#This Row],[Shipping costs]]+[1]!Data[[#This Row],[Costs]]</f>
        <v>574.03366355598166</v>
      </c>
      <c r="X91" s="10">
        <f>[1]!Data[[#This Row],[Revenue generated]]- [1]!Data[[#This Row],[Total Cost]]</f>
        <v>5350.6489032972486</v>
      </c>
      <c r="Y91" s="12">
        <f>[1]!Data[[#This Row],[Profit]]/[1]!Data[[#This Row],[Revenue generated]]</f>
        <v>0.90311149043367778</v>
      </c>
      <c r="Z91" s="13" t="str">
        <f>IF([1]!Data[[#This Row],[Stock levels]]&lt;20,"Low Stock","Healthy")</f>
        <v>Healthy</v>
      </c>
      <c r="AA91" s="13" t="str">
        <f>IF([1]!Data[[#This Row],[Defect rates]]&gt;3,"High Risk",
IF([1]!Data[[#This Row],[Defect rates]]&gt;1,"Medium Risk","Low Risk"))</f>
        <v>Medium Risk</v>
      </c>
      <c r="AB91" s="14">
        <f>IF([1]!Data[[#This Row],[Inspection results]]="Pass",1,
IF([1]!Data[[#This Row],[Inspection results]]="Pending",0.5,0))</f>
        <v>0.5</v>
      </c>
    </row>
    <row r="92" spans="1:28" x14ac:dyDescent="0.3">
      <c r="A92" s="1" t="s">
        <v>8</v>
      </c>
      <c r="B92" s="2" t="s">
        <v>116</v>
      </c>
      <c r="C92" s="3">
        <v>13.881913501359101</v>
      </c>
      <c r="D92" s="2">
        <v>56</v>
      </c>
      <c r="E92" s="2">
        <v>320</v>
      </c>
      <c r="F92" s="3">
        <v>9592.6335702803099</v>
      </c>
      <c r="G92" s="2">
        <v>66</v>
      </c>
      <c r="H92" s="2">
        <v>18</v>
      </c>
      <c r="I92" s="2">
        <v>96</v>
      </c>
      <c r="J92" s="2">
        <v>7</v>
      </c>
      <c r="K92" s="2" t="s">
        <v>2</v>
      </c>
      <c r="L92" s="3">
        <v>7.6744307081126903</v>
      </c>
      <c r="M92" s="2" t="s">
        <v>3</v>
      </c>
      <c r="N92" s="2" t="s">
        <v>26</v>
      </c>
      <c r="O92" s="2">
        <v>585</v>
      </c>
      <c r="P92" s="2">
        <v>8</v>
      </c>
      <c r="Q92" s="3">
        <v>85.675963335797903</v>
      </c>
      <c r="R92" s="2" t="s">
        <v>36</v>
      </c>
      <c r="S92" s="4">
        <v>1.2193822244013801</v>
      </c>
      <c r="T92" s="2" t="s">
        <v>20</v>
      </c>
      <c r="U92" s="2" t="s">
        <v>7</v>
      </c>
      <c r="V92" s="3">
        <v>990.07847250581096</v>
      </c>
      <c r="W92" s="3">
        <f>[1]!Data[[#This Row],[Manufacturing costs]]+[1]!Data[[#This Row],[Shipping costs]]+[1]!Data[[#This Row],[Costs]]</f>
        <v>1083.4288665497215</v>
      </c>
      <c r="X92" s="3">
        <f>[1]!Data[[#This Row],[Revenue generated]]- [1]!Data[[#This Row],[Total Cost]]</f>
        <v>8509.2047037305892</v>
      </c>
      <c r="Y92" s="5">
        <f>[1]!Data[[#This Row],[Profit]]/[1]!Data[[#This Row],[Revenue generated]]</f>
        <v>0.88705616047855962</v>
      </c>
      <c r="Z92" s="6" t="str">
        <f>IF([1]!Data[[#This Row],[Stock levels]]&lt;20,"Low Stock","Healthy")</f>
        <v>Healthy</v>
      </c>
      <c r="AA92" s="6" t="str">
        <f>IF([1]!Data[[#This Row],[Defect rates]]&gt;3,"High Risk",
IF([1]!Data[[#This Row],[Defect rates]]&gt;1,"Medium Risk","Low Risk"))</f>
        <v>Medium Risk</v>
      </c>
      <c r="AB92" s="7">
        <f>IF([1]!Data[[#This Row],[Inspection results]]="Pass",1,
IF([1]!Data[[#This Row],[Inspection results]]="Pending",0.5,0))</f>
        <v>1</v>
      </c>
    </row>
    <row r="93" spans="1:28" x14ac:dyDescent="0.3">
      <c r="A93" s="8" t="s">
        <v>29</v>
      </c>
      <c r="B93" s="9" t="s">
        <v>117</v>
      </c>
      <c r="C93" s="10">
        <v>62.111965463961702</v>
      </c>
      <c r="D93" s="9">
        <v>90</v>
      </c>
      <c r="E93" s="9">
        <v>916</v>
      </c>
      <c r="F93" s="10">
        <v>1935.20679350759</v>
      </c>
      <c r="G93" s="9">
        <v>98</v>
      </c>
      <c r="H93" s="9">
        <v>22</v>
      </c>
      <c r="I93" s="9">
        <v>85</v>
      </c>
      <c r="J93" s="9">
        <v>7</v>
      </c>
      <c r="K93" s="9" t="s">
        <v>2</v>
      </c>
      <c r="L93" s="10">
        <v>7.4715140844011403</v>
      </c>
      <c r="M93" s="9" t="s">
        <v>25</v>
      </c>
      <c r="N93" s="9" t="s">
        <v>23</v>
      </c>
      <c r="O93" s="9">
        <v>207</v>
      </c>
      <c r="P93" s="9">
        <v>28</v>
      </c>
      <c r="Q93" s="10">
        <v>39.772882502339897</v>
      </c>
      <c r="R93" s="9" t="s">
        <v>5</v>
      </c>
      <c r="S93" s="11">
        <v>0.62600185820939402</v>
      </c>
      <c r="T93" s="9" t="s">
        <v>20</v>
      </c>
      <c r="U93" s="9" t="s">
        <v>7</v>
      </c>
      <c r="V93" s="10">
        <v>996.77831495062298</v>
      </c>
      <c r="W93" s="10">
        <f>[1]!Data[[#This Row],[Manufacturing costs]]+[1]!Data[[#This Row],[Shipping costs]]+[1]!Data[[#This Row],[Costs]]</f>
        <v>1044.0227115373641</v>
      </c>
      <c r="X93" s="10">
        <f>[1]!Data[[#This Row],[Revenue generated]]- [1]!Data[[#This Row],[Total Cost]]</f>
        <v>891.18408197022586</v>
      </c>
      <c r="Y93" s="12">
        <f>[1]!Data[[#This Row],[Profit]]/[1]!Data[[#This Row],[Revenue generated]]</f>
        <v>0.46051103425228368</v>
      </c>
      <c r="Z93" s="13" t="str">
        <f>IF([1]!Data[[#This Row],[Stock levels]]&lt;20,"Low Stock","Healthy")</f>
        <v>Healthy</v>
      </c>
      <c r="AA93" s="13" t="str">
        <f>IF([1]!Data[[#This Row],[Defect rates]]&gt;3,"High Risk",
IF([1]!Data[[#This Row],[Defect rates]]&gt;1,"Medium Risk","Low Risk"))</f>
        <v>Low Risk</v>
      </c>
      <c r="AB93" s="14">
        <f>IF([1]!Data[[#This Row],[Inspection results]]="Pass",1,
IF([1]!Data[[#This Row],[Inspection results]]="Pending",0.5,0))</f>
        <v>0.5</v>
      </c>
    </row>
    <row r="94" spans="1:28" x14ac:dyDescent="0.3">
      <c r="A94" s="1" t="s">
        <v>29</v>
      </c>
      <c r="B94" s="2" t="s">
        <v>118</v>
      </c>
      <c r="C94" s="3">
        <v>47.714233075820196</v>
      </c>
      <c r="D94" s="2">
        <v>44</v>
      </c>
      <c r="E94" s="2">
        <v>276</v>
      </c>
      <c r="F94" s="3">
        <v>2100.1297546259302</v>
      </c>
      <c r="G94" s="2">
        <v>90</v>
      </c>
      <c r="H94" s="2">
        <v>25</v>
      </c>
      <c r="I94" s="2">
        <v>10</v>
      </c>
      <c r="J94" s="2">
        <v>8</v>
      </c>
      <c r="K94" s="2" t="s">
        <v>2</v>
      </c>
      <c r="L94" s="3">
        <v>4.4695000261236002</v>
      </c>
      <c r="M94" s="2" t="s">
        <v>33</v>
      </c>
      <c r="N94" s="2" t="s">
        <v>4</v>
      </c>
      <c r="O94" s="2">
        <v>671</v>
      </c>
      <c r="P94" s="2">
        <v>29</v>
      </c>
      <c r="Q94" s="3">
        <v>62.612690395614301</v>
      </c>
      <c r="R94" s="2" t="s">
        <v>36</v>
      </c>
      <c r="S94" s="4">
        <v>0.33343182522473902</v>
      </c>
      <c r="T94" s="2" t="s">
        <v>20</v>
      </c>
      <c r="U94" s="2" t="s">
        <v>7</v>
      </c>
      <c r="V94" s="3">
        <v>230.092782536762</v>
      </c>
      <c r="W94" s="3">
        <f>[1]!Data[[#This Row],[Manufacturing costs]]+[1]!Data[[#This Row],[Shipping costs]]+[1]!Data[[#This Row],[Costs]]</f>
        <v>297.17497295849989</v>
      </c>
      <c r="X94" s="3">
        <f>[1]!Data[[#This Row],[Revenue generated]]- [1]!Data[[#This Row],[Total Cost]]</f>
        <v>1802.9547816674303</v>
      </c>
      <c r="Y94" s="5">
        <f>[1]!Data[[#This Row],[Profit]]/[1]!Data[[#This Row],[Revenue generated]]</f>
        <v>0.85849685129982267</v>
      </c>
      <c r="Z94" s="6" t="str">
        <f>IF([1]!Data[[#This Row],[Stock levels]]&lt;20,"Low Stock","Healthy")</f>
        <v>Healthy</v>
      </c>
      <c r="AA94" s="6" t="str">
        <f>IF([1]!Data[[#This Row],[Defect rates]]&gt;3,"High Risk",
IF([1]!Data[[#This Row],[Defect rates]]&gt;1,"Medium Risk","Low Risk"))</f>
        <v>Low Risk</v>
      </c>
      <c r="AB94" s="7">
        <f>IF([1]!Data[[#This Row],[Inspection results]]="Pass",1,
IF([1]!Data[[#This Row],[Inspection results]]="Pending",0.5,0))</f>
        <v>1</v>
      </c>
    </row>
    <row r="95" spans="1:28" x14ac:dyDescent="0.3">
      <c r="A95" s="8" t="s">
        <v>0</v>
      </c>
      <c r="B95" s="9" t="s">
        <v>119</v>
      </c>
      <c r="C95" s="10">
        <v>69.290831002905406</v>
      </c>
      <c r="D95" s="9">
        <v>88</v>
      </c>
      <c r="E95" s="9">
        <v>114</v>
      </c>
      <c r="F95" s="10">
        <v>4531.4021336919004</v>
      </c>
      <c r="G95" s="9">
        <v>63</v>
      </c>
      <c r="H95" s="9">
        <v>17</v>
      </c>
      <c r="I95" s="9">
        <v>66</v>
      </c>
      <c r="J95" s="9">
        <v>1</v>
      </c>
      <c r="K95" s="9" t="s">
        <v>16</v>
      </c>
      <c r="L95" s="10">
        <v>7.00643205900439</v>
      </c>
      <c r="M95" s="9" t="s">
        <v>25</v>
      </c>
      <c r="N95" s="9" t="s">
        <v>34</v>
      </c>
      <c r="O95" s="9">
        <v>824</v>
      </c>
      <c r="P95" s="9">
        <v>20</v>
      </c>
      <c r="Q95" s="10">
        <v>35.633652343343797</v>
      </c>
      <c r="R95" s="9" t="s">
        <v>19</v>
      </c>
      <c r="S95" s="11">
        <v>4.1657817954241398</v>
      </c>
      <c r="T95" s="9" t="s">
        <v>13</v>
      </c>
      <c r="U95" s="9" t="s">
        <v>21</v>
      </c>
      <c r="V95" s="10">
        <v>823.52384588815505</v>
      </c>
      <c r="W95" s="10">
        <f>[1]!Data[[#This Row],[Manufacturing costs]]+[1]!Data[[#This Row],[Shipping costs]]+[1]!Data[[#This Row],[Costs]]</f>
        <v>866.16393029050323</v>
      </c>
      <c r="X95" s="10">
        <f>[1]!Data[[#This Row],[Revenue generated]]- [1]!Data[[#This Row],[Total Cost]]</f>
        <v>3665.2382034013972</v>
      </c>
      <c r="Y95" s="12">
        <f>[1]!Data[[#This Row],[Profit]]/[1]!Data[[#This Row],[Revenue generated]]</f>
        <v>0.80885299853429526</v>
      </c>
      <c r="Z95" s="13" t="str">
        <f>IF([1]!Data[[#This Row],[Stock levels]]&lt;20,"Low Stock","Healthy")</f>
        <v>Healthy</v>
      </c>
      <c r="AA95" s="13" t="str">
        <f>IF([1]!Data[[#This Row],[Defect rates]]&gt;3,"High Risk",
IF([1]!Data[[#This Row],[Defect rates]]&gt;1,"Medium Risk","Low Risk"))</f>
        <v>High Risk</v>
      </c>
      <c r="AB95" s="14">
        <f>IF([1]!Data[[#This Row],[Inspection results]]="Pass",1,
IF([1]!Data[[#This Row],[Inspection results]]="Pending",0.5,0))</f>
        <v>0</v>
      </c>
    </row>
    <row r="96" spans="1:28" x14ac:dyDescent="0.3">
      <c r="A96" s="1" t="s">
        <v>29</v>
      </c>
      <c r="B96" s="2" t="s">
        <v>120</v>
      </c>
      <c r="C96" s="3">
        <v>3.0376887246314102</v>
      </c>
      <c r="D96" s="2">
        <v>97</v>
      </c>
      <c r="E96" s="2">
        <v>987</v>
      </c>
      <c r="F96" s="3">
        <v>7888.3565466618702</v>
      </c>
      <c r="G96" s="2">
        <v>77</v>
      </c>
      <c r="H96" s="2">
        <v>26</v>
      </c>
      <c r="I96" s="2">
        <v>72</v>
      </c>
      <c r="J96" s="2">
        <v>9</v>
      </c>
      <c r="K96" s="2" t="s">
        <v>2</v>
      </c>
      <c r="L96" s="3">
        <v>6.9429459420325799</v>
      </c>
      <c r="M96" s="2" t="s">
        <v>33</v>
      </c>
      <c r="N96" s="2" t="s">
        <v>23</v>
      </c>
      <c r="O96" s="2">
        <v>908</v>
      </c>
      <c r="P96" s="2">
        <v>14</v>
      </c>
      <c r="Q96" s="3">
        <v>60.387378614862101</v>
      </c>
      <c r="R96" s="2" t="s">
        <v>36</v>
      </c>
      <c r="S96" s="4">
        <v>1.4636074984727701</v>
      </c>
      <c r="T96" s="2" t="s">
        <v>20</v>
      </c>
      <c r="U96" s="2" t="s">
        <v>7</v>
      </c>
      <c r="V96" s="3">
        <v>846.66525698669398</v>
      </c>
      <c r="W96" s="3">
        <f>[1]!Data[[#This Row],[Manufacturing costs]]+[1]!Data[[#This Row],[Shipping costs]]+[1]!Data[[#This Row],[Costs]]</f>
        <v>913.99558154358863</v>
      </c>
      <c r="X96" s="3">
        <f>[1]!Data[[#This Row],[Revenue generated]]- [1]!Data[[#This Row],[Total Cost]]</f>
        <v>6974.3609651182815</v>
      </c>
      <c r="Y96" s="5">
        <f>[1]!Data[[#This Row],[Profit]]/[1]!Data[[#This Row],[Revenue generated]]</f>
        <v>0.88413358649079243</v>
      </c>
      <c r="Z96" s="6" t="str">
        <f>IF([1]!Data[[#This Row],[Stock levels]]&lt;20,"Low Stock","Healthy")</f>
        <v>Healthy</v>
      </c>
      <c r="AA96" s="6" t="str">
        <f>IF([1]!Data[[#This Row],[Defect rates]]&gt;3,"High Risk",
IF([1]!Data[[#This Row],[Defect rates]]&gt;1,"Medium Risk","Low Risk"))</f>
        <v>Medium Risk</v>
      </c>
      <c r="AB96" s="7">
        <f>IF([1]!Data[[#This Row],[Inspection results]]="Pass",1,
IF([1]!Data[[#This Row],[Inspection results]]="Pending",0.5,0))</f>
        <v>1</v>
      </c>
    </row>
    <row r="97" spans="1:28" x14ac:dyDescent="0.3">
      <c r="A97" s="8" t="s">
        <v>0</v>
      </c>
      <c r="B97" s="9" t="s">
        <v>121</v>
      </c>
      <c r="C97" s="10">
        <v>77.903927219447695</v>
      </c>
      <c r="D97" s="9">
        <v>65</v>
      </c>
      <c r="E97" s="9">
        <v>672</v>
      </c>
      <c r="F97" s="10">
        <v>7386.3639440486604</v>
      </c>
      <c r="G97" s="9">
        <v>15</v>
      </c>
      <c r="H97" s="9">
        <v>14</v>
      </c>
      <c r="I97" s="9">
        <v>26</v>
      </c>
      <c r="J97" s="9">
        <v>9</v>
      </c>
      <c r="K97" s="9" t="s">
        <v>2</v>
      </c>
      <c r="L97" s="10">
        <v>8.6303388696027508</v>
      </c>
      <c r="M97" s="9" t="s">
        <v>25</v>
      </c>
      <c r="N97" s="9" t="s">
        <v>4</v>
      </c>
      <c r="O97" s="9">
        <v>450</v>
      </c>
      <c r="P97" s="9">
        <v>26</v>
      </c>
      <c r="Q97" s="10">
        <v>58.890685768589897</v>
      </c>
      <c r="R97" s="9" t="s">
        <v>5</v>
      </c>
      <c r="S97" s="11">
        <v>1.21088212958506</v>
      </c>
      <c r="T97" s="9" t="s">
        <v>13</v>
      </c>
      <c r="U97" s="9" t="s">
        <v>21</v>
      </c>
      <c r="V97" s="10">
        <v>778.86424137664699</v>
      </c>
      <c r="W97" s="10">
        <f>[1]!Data[[#This Row],[Manufacturing costs]]+[1]!Data[[#This Row],[Shipping costs]]+[1]!Data[[#This Row],[Costs]]</f>
        <v>846.38526601483966</v>
      </c>
      <c r="X97" s="10">
        <f>[1]!Data[[#This Row],[Revenue generated]]- [1]!Data[[#This Row],[Total Cost]]</f>
        <v>6539.9786780338209</v>
      </c>
      <c r="Y97" s="12">
        <f>[1]!Data[[#This Row],[Profit]]/[1]!Data[[#This Row],[Revenue generated]]</f>
        <v>0.88541246106661331</v>
      </c>
      <c r="Z97" s="13" t="str">
        <f>IF([1]!Data[[#This Row],[Stock levels]]&lt;20,"Low Stock","Healthy")</f>
        <v>Low Stock</v>
      </c>
      <c r="AA97" s="13" t="str">
        <f>IF([1]!Data[[#This Row],[Defect rates]]&gt;3,"High Risk",
IF([1]!Data[[#This Row],[Defect rates]]&gt;1,"Medium Risk","Low Risk"))</f>
        <v>Medium Risk</v>
      </c>
      <c r="AB97" s="14">
        <f>IF([1]!Data[[#This Row],[Inspection results]]="Pass",1,
IF([1]!Data[[#This Row],[Inspection results]]="Pending",0.5,0))</f>
        <v>0.5</v>
      </c>
    </row>
    <row r="98" spans="1:28" x14ac:dyDescent="0.3">
      <c r="A98" s="1" t="s">
        <v>29</v>
      </c>
      <c r="B98" s="2" t="s">
        <v>122</v>
      </c>
      <c r="C98" s="3">
        <v>24.423131420373299</v>
      </c>
      <c r="D98" s="2">
        <v>29</v>
      </c>
      <c r="E98" s="2">
        <v>324</v>
      </c>
      <c r="F98" s="3">
        <v>7698.4247656321104</v>
      </c>
      <c r="G98" s="2">
        <v>67</v>
      </c>
      <c r="H98" s="2">
        <v>2</v>
      </c>
      <c r="I98" s="2">
        <v>32</v>
      </c>
      <c r="J98" s="2">
        <v>3</v>
      </c>
      <c r="K98" s="2" t="s">
        <v>16</v>
      </c>
      <c r="L98" s="3">
        <v>5.3528780439967996</v>
      </c>
      <c r="M98" s="2" t="s">
        <v>3</v>
      </c>
      <c r="N98" s="2" t="s">
        <v>4</v>
      </c>
      <c r="O98" s="2">
        <v>648</v>
      </c>
      <c r="P98" s="2">
        <v>28</v>
      </c>
      <c r="Q98" s="3">
        <v>17.803756331391199</v>
      </c>
      <c r="R98" s="2" t="s">
        <v>5</v>
      </c>
      <c r="S98" s="4">
        <v>3.8720476814821301</v>
      </c>
      <c r="T98" s="2" t="s">
        <v>6</v>
      </c>
      <c r="U98" s="2" t="s">
        <v>21</v>
      </c>
      <c r="V98" s="3">
        <v>188.74214114905601</v>
      </c>
      <c r="W98" s="3">
        <f>[1]!Data[[#This Row],[Manufacturing costs]]+[1]!Data[[#This Row],[Shipping costs]]+[1]!Data[[#This Row],[Costs]]</f>
        <v>211.89877552444401</v>
      </c>
      <c r="X98" s="3">
        <f>[1]!Data[[#This Row],[Revenue generated]]- [1]!Data[[#This Row],[Total Cost]]</f>
        <v>7486.5259901076661</v>
      </c>
      <c r="Y98" s="5">
        <f>[1]!Data[[#This Row],[Profit]]/[1]!Data[[#This Row],[Revenue generated]]</f>
        <v>0.9724750475616234</v>
      </c>
      <c r="Z98" s="6" t="str">
        <f>IF([1]!Data[[#This Row],[Stock levels]]&lt;20,"Low Stock","Healthy")</f>
        <v>Healthy</v>
      </c>
      <c r="AA98" s="6" t="str">
        <f>IF([1]!Data[[#This Row],[Defect rates]]&gt;3,"High Risk",
IF([1]!Data[[#This Row],[Defect rates]]&gt;1,"Medium Risk","Low Risk"))</f>
        <v>High Risk</v>
      </c>
      <c r="AB98" s="7">
        <f>IF([1]!Data[[#This Row],[Inspection results]]="Pass",1,
IF([1]!Data[[#This Row],[Inspection results]]="Pending",0.5,0))</f>
        <v>0.5</v>
      </c>
    </row>
    <row r="99" spans="1:28" x14ac:dyDescent="0.3">
      <c r="A99" s="8" t="s">
        <v>0</v>
      </c>
      <c r="B99" s="9" t="s">
        <v>123</v>
      </c>
      <c r="C99" s="10">
        <v>3.5261112591434101</v>
      </c>
      <c r="D99" s="9">
        <v>56</v>
      </c>
      <c r="E99" s="9">
        <v>62</v>
      </c>
      <c r="F99" s="10">
        <v>4370.9165799845296</v>
      </c>
      <c r="G99" s="9">
        <v>46</v>
      </c>
      <c r="H99" s="9">
        <v>19</v>
      </c>
      <c r="I99" s="9">
        <v>4</v>
      </c>
      <c r="J99" s="9">
        <v>9</v>
      </c>
      <c r="K99" s="9" t="s">
        <v>10</v>
      </c>
      <c r="L99" s="10">
        <v>7.9048456112096703</v>
      </c>
      <c r="M99" s="9" t="s">
        <v>25</v>
      </c>
      <c r="N99" s="9" t="s">
        <v>4</v>
      </c>
      <c r="O99" s="9">
        <v>535</v>
      </c>
      <c r="P99" s="9">
        <v>13</v>
      </c>
      <c r="Q99" s="10">
        <v>65.765155926367399</v>
      </c>
      <c r="R99" s="9" t="s">
        <v>19</v>
      </c>
      <c r="S99" s="11">
        <v>3.3762378347179798</v>
      </c>
      <c r="T99" s="9" t="s">
        <v>6</v>
      </c>
      <c r="U99" s="9" t="s">
        <v>21</v>
      </c>
      <c r="V99" s="10">
        <v>540.13242286796697</v>
      </c>
      <c r="W99" s="10">
        <f>[1]!Data[[#This Row],[Manufacturing costs]]+[1]!Data[[#This Row],[Shipping costs]]+[1]!Data[[#This Row],[Costs]]</f>
        <v>613.802424405544</v>
      </c>
      <c r="X99" s="10">
        <f>[1]!Data[[#This Row],[Revenue generated]]- [1]!Data[[#This Row],[Total Cost]]</f>
        <v>3757.1141555789854</v>
      </c>
      <c r="Y99" s="12">
        <f>[1]!Data[[#This Row],[Profit]]/[1]!Data[[#This Row],[Revenue generated]]</f>
        <v>0.85957123336183261</v>
      </c>
      <c r="Z99" s="13" t="str">
        <f>IF([1]!Data[[#This Row],[Stock levels]]&lt;20,"Low Stock","Healthy")</f>
        <v>Healthy</v>
      </c>
      <c r="AA99" s="13" t="str">
        <f>IF([1]!Data[[#This Row],[Defect rates]]&gt;3,"High Risk",
IF([1]!Data[[#This Row],[Defect rates]]&gt;1,"Medium Risk","Low Risk"))</f>
        <v>High Risk</v>
      </c>
      <c r="AB99" s="14">
        <f>IF([1]!Data[[#This Row],[Inspection results]]="Pass",1,
IF([1]!Data[[#This Row],[Inspection results]]="Pending",0.5,0))</f>
        <v>0</v>
      </c>
    </row>
    <row r="100" spans="1:28" x14ac:dyDescent="0.3">
      <c r="A100" s="1" t="s">
        <v>8</v>
      </c>
      <c r="B100" s="2" t="s">
        <v>124</v>
      </c>
      <c r="C100" s="3">
        <v>19.754604866878601</v>
      </c>
      <c r="D100" s="2">
        <v>43</v>
      </c>
      <c r="E100" s="2">
        <v>913</v>
      </c>
      <c r="F100" s="3">
        <v>8525.9525596835192</v>
      </c>
      <c r="G100" s="2">
        <v>53</v>
      </c>
      <c r="H100" s="2">
        <v>1</v>
      </c>
      <c r="I100" s="2">
        <v>27</v>
      </c>
      <c r="J100" s="2">
        <v>7</v>
      </c>
      <c r="K100" s="2" t="s">
        <v>2</v>
      </c>
      <c r="L100" s="3">
        <v>1.4098010951380699</v>
      </c>
      <c r="M100" s="2" t="s">
        <v>17</v>
      </c>
      <c r="N100" s="2" t="s">
        <v>34</v>
      </c>
      <c r="O100" s="2">
        <v>581</v>
      </c>
      <c r="P100" s="2">
        <v>9</v>
      </c>
      <c r="Q100" s="3">
        <v>5.6046908643717801</v>
      </c>
      <c r="R100" s="2" t="s">
        <v>5</v>
      </c>
      <c r="S100" s="4">
        <v>2.9081221693512598</v>
      </c>
      <c r="T100" s="2" t="s">
        <v>20</v>
      </c>
      <c r="U100" s="2" t="s">
        <v>21</v>
      </c>
      <c r="V100" s="3">
        <v>882.19886354704101</v>
      </c>
      <c r="W100" s="3">
        <f>[1]!Data[[#This Row],[Manufacturing costs]]+[1]!Data[[#This Row],[Shipping costs]]+[1]!Data[[#This Row],[Costs]]</f>
        <v>889.2133555065509</v>
      </c>
      <c r="X100" s="3">
        <f>[1]!Data[[#This Row],[Revenue generated]]- [1]!Data[[#This Row],[Total Cost]]</f>
        <v>7636.7392041769681</v>
      </c>
      <c r="Y100" s="5">
        <f>[1]!Data[[#This Row],[Profit]]/[1]!Data[[#This Row],[Revenue generated]]</f>
        <v>0.89570510165499229</v>
      </c>
      <c r="Z100" s="6" t="str">
        <f>IF([1]!Data[[#This Row],[Stock levels]]&lt;20,"Low Stock","Healthy")</f>
        <v>Healthy</v>
      </c>
      <c r="AA100" s="6" t="str">
        <f>IF([1]!Data[[#This Row],[Defect rates]]&gt;3,"High Risk",
IF([1]!Data[[#This Row],[Defect rates]]&gt;1,"Medium Risk","Low Risk"))</f>
        <v>Medium Risk</v>
      </c>
      <c r="AB100" s="7">
        <f>IF([1]!Data[[#This Row],[Inspection results]]="Pass",1,
IF([1]!Data[[#This Row],[Inspection results]]="Pending",0.5,0))</f>
        <v>0.5</v>
      </c>
    </row>
    <row r="101" spans="1:28" x14ac:dyDescent="0.3">
      <c r="A101" s="19" t="s">
        <v>0</v>
      </c>
      <c r="B101" s="20" t="s">
        <v>125</v>
      </c>
      <c r="C101" s="21">
        <v>68.517832699276596</v>
      </c>
      <c r="D101" s="20">
        <v>17</v>
      </c>
      <c r="E101" s="20">
        <v>627</v>
      </c>
      <c r="F101" s="21">
        <v>9185.1858291817007</v>
      </c>
      <c r="G101" s="20">
        <v>55</v>
      </c>
      <c r="H101" s="20">
        <v>8</v>
      </c>
      <c r="I101" s="20">
        <v>59</v>
      </c>
      <c r="J101" s="20">
        <v>6</v>
      </c>
      <c r="K101" s="20" t="s">
        <v>2</v>
      </c>
      <c r="L101" s="21">
        <v>1.3110237561206199</v>
      </c>
      <c r="M101" s="20" t="s">
        <v>33</v>
      </c>
      <c r="N101" s="20" t="s">
        <v>34</v>
      </c>
      <c r="O101" s="20">
        <v>921</v>
      </c>
      <c r="P101" s="20">
        <v>2</v>
      </c>
      <c r="Q101" s="21">
        <v>38.072898520625998</v>
      </c>
      <c r="R101" s="20" t="s">
        <v>19</v>
      </c>
      <c r="S101" s="22">
        <v>0.34602729070550298</v>
      </c>
      <c r="T101" s="20" t="s">
        <v>20</v>
      </c>
      <c r="U101" s="20" t="s">
        <v>7</v>
      </c>
      <c r="V101" s="21">
        <v>210.743008964246</v>
      </c>
      <c r="W101" s="21">
        <f>[1]!Data[[#This Row],[Manufacturing costs]]+[1]!Data[[#This Row],[Shipping costs]]+[1]!Data[[#This Row],[Costs]]</f>
        <v>250.12693124099263</v>
      </c>
      <c r="X101" s="21">
        <f>[1]!Data[[#This Row],[Revenue generated]]- [1]!Data[[#This Row],[Total Cost]]</f>
        <v>8935.0588979407075</v>
      </c>
      <c r="Y101" s="23">
        <f>[1]!Data[[#This Row],[Profit]]/[1]!Data[[#This Row],[Revenue generated]]</f>
        <v>0.97276844084674585</v>
      </c>
      <c r="Z101" s="24" t="str">
        <f>IF([1]!Data[[#This Row],[Stock levels]]&lt;20,"Low Stock","Healthy")</f>
        <v>Healthy</v>
      </c>
      <c r="AA101" s="24" t="str">
        <f>IF([1]!Data[[#This Row],[Defect rates]]&gt;3,"High Risk",
IF([1]!Data[[#This Row],[Defect rates]]&gt;1,"Medium Risk","Low Risk"))</f>
        <v>Low Risk</v>
      </c>
      <c r="AB101" s="25">
        <f>IF([1]!Data[[#This Row],[Inspection results]]="Pass",1,
IF([1]!Data[[#This Row],[Inspection results]]="Pending",0.5,0))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a43976</dc:creator>
  <cp:lastModifiedBy>a43976</cp:lastModifiedBy>
  <dcterms:created xsi:type="dcterms:W3CDTF">2026-07-03T14:37:20Z</dcterms:created>
  <dcterms:modified xsi:type="dcterms:W3CDTF">2026-07-03T14:42:30Z</dcterms:modified>
</cp:coreProperties>
</file>